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ATHOM Engine Coverage" sheetId="2" state="visible" r:id="rId4"/>
    <sheet name="Database Support" sheetId="3" state="visible" r:id="rId5"/>
    <sheet name="Monitoring" sheetId="4" state="visible" r:id="rId6"/>
    <sheet name="Observability" sheetId="5" state="visible" r:id="rId7"/>
    <sheet name="Enterprise" sheetId="6" state="visible" r:id="rId8"/>
    <sheet name="Integrations" sheetId="7" state="visible" r:id="rId9"/>
    <sheet name="Deployment" sheetId="8" state="visible" r:id="rId10"/>
    <sheet name="Pricing" sheetId="9" state="visible" r:id="rId11"/>
    <sheet name="Legen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<sst xmlns="http://schemas.openxmlformats.org/spreadsheetml/2006/main" count="1736" uniqueCount="337">
  <si>
    <t xml:space="preserve">FATHOM — Competitive Positioning Matrix</t>
  </si>
  <si>
    <t xml:space="preserve">Side-by-side feature &amp; positioning comparison vs. 15 tools in the database monitoring, observability, and DB-IDE space.</t>
  </si>
  <si>
    <t xml:space="preserve">Tool</t>
  </si>
  <si>
    <t xml:space="preserve">Category</t>
  </si>
  <si>
    <t xml:space="preserve">Primary Focus</t>
  </si>
  <si>
    <t xml:space="preserve">Deployment</t>
  </si>
  <si>
    <t xml:space="preserve">Strength vs. FATHOM</t>
  </si>
  <si>
    <t xml:space="preserve">Gap vs. FATHOM</t>
  </si>
  <si>
    <t xml:space="preserve">FATHOM</t>
  </si>
  <si>
    <t xml:space="preserve">Multi-DB monitoring + workbench</t>
  </si>
  <si>
    <t xml:space="preserve">Postgres/MySQL/Mongo monitoring, query workbench, AI assist, fan-out alerts</t>
  </si>
  <si>
    <t xml:space="preserve">SaaS + self-host</t>
  </si>
  <si>
    <t xml:space="preserve">—</t>
  </si>
  <si>
    <t xml:space="preserve">Datadog DBM</t>
  </si>
  <si>
    <t xml:space="preserve">APM mega-suite add-on</t>
  </si>
  <si>
    <t xml:space="preserve">Query performance on top of APM; deep Postgres/MySQL plan capture</t>
  </si>
  <si>
    <t xml:space="preserve">SaaS</t>
  </si>
  <si>
    <t xml:space="preserve">Unified APM/traces/logs/infra; massive integration catalog</t>
  </si>
  <si>
    <t xml:space="preserve">Price scales hard; no first-class query workbench; no schema diff/index advisor UX</t>
  </si>
  <si>
    <t xml:space="preserve">pganalyze</t>
  </si>
  <si>
    <t xml:space="preserve">Postgres performance specialist</t>
  </si>
  <si>
    <t xml:space="preserve">Best-in-class PG query &amp; index analysis, EXPLAIN deep dive</t>
  </si>
  <si>
    <t xml:space="preserve">Deepest Postgres query plan UX on the market</t>
  </si>
  <si>
    <t xml:space="preserve">Postgres only; no MySQL/Mongo; no workbench; no APM/traces</t>
  </si>
  <si>
    <t xml:space="preserve">Sentry</t>
  </si>
  <si>
    <t xml:space="preserve">Error/perf monitoring</t>
  </si>
  <si>
    <t xml:space="preserve">App errors + some DB perf context via Insights (2024+)</t>
  </si>
  <si>
    <t xml:space="preserve">Universal error tracking; strong dev adoption</t>
  </si>
  <si>
    <t xml:space="preserve">Not a DB monitor; DB insights are derivative from app spans</t>
  </si>
  <si>
    <t xml:space="preserve">DataGrip</t>
  </si>
  <si>
    <t xml:space="preserve">Commercial DB IDE</t>
  </si>
  <si>
    <t xml:space="preserve">Full SQL IDE: editor, refactoring, schema browse, versioning</t>
  </si>
  <si>
    <t xml:space="preserve">Desktop</t>
  </si>
  <si>
    <t xml:space="preserve">IDE UX polish (inspections, refactors, cross-DB)</t>
  </si>
  <si>
    <t xml:space="preserve">Zero monitoring; no alerting; no team/org features</t>
  </si>
  <si>
    <t xml:space="preserve">pgBadger</t>
  </si>
  <si>
    <t xml:space="preserve">Log analyzer</t>
  </si>
  <si>
    <t xml:space="preserve">Offline Postgres log → HTML report</t>
  </si>
  <si>
    <t xml:space="preserve">CLI / self-host</t>
  </si>
  <si>
    <t xml:space="preserve">Free, exhaustive log-based stats</t>
  </si>
  <si>
    <t xml:space="preserve">Batch only; no live metrics; no alerts; no UI for interactive work</t>
  </si>
  <si>
    <t xml:space="preserve">pgHero</t>
  </si>
  <si>
    <t xml:space="preserve">Single-page dashboard</t>
  </si>
  <si>
    <t xml:space="preserve">Lightweight PG health snapshot (slow queries, indexes, bloat)</t>
  </si>
  <si>
    <t xml:space="preserve">Self-host</t>
  </si>
  <si>
    <t xml:space="preserve">Dead simple; zero-config; free</t>
  </si>
  <si>
    <t xml:space="preserve">No history, no alerts, no multi-tenant, no auth/RBAC</t>
  </si>
  <si>
    <t xml:space="preserve">Percona PMM</t>
  </si>
  <si>
    <t xml:space="preserve">Open-source DB monitor</t>
  </si>
  <si>
    <t xml:space="preserve">Grafana-based PG/MySQL/Mongo dashboards + QAN</t>
  </si>
  <si>
    <t xml:space="preserve">Self-host (Docker)</t>
  </si>
  <si>
    <t xml:space="preserve">Open-source; QAN query profiling</t>
  </si>
  <si>
    <t xml:space="preserve">Operator burden; no workbench; no AI; limited alert fan-out</t>
  </si>
  <si>
    <t xml:space="preserve">New Relic</t>
  </si>
  <si>
    <t xml:space="preserve">APM / unified observability</t>
  </si>
  <si>
    <t xml:space="preserve">APM, infra, logs, traces; DB telemetry via agents</t>
  </si>
  <si>
    <t xml:space="preserve">Full observability spectrum; DB-in-APM context</t>
  </si>
  <si>
    <t xml:space="preserve">DB-specific depth &lt; pganalyze/FATHOM; UX is APM-first</t>
  </si>
  <si>
    <t xml:space="preserve">Dynatrace</t>
  </si>
  <si>
    <t xml:space="preserve">Enterprise APM + AIOps</t>
  </si>
  <si>
    <t xml:space="preserve">Davis AI, auto-discovery, deep dependency mapping</t>
  </si>
  <si>
    <t xml:space="preserve">SaaS + Managed</t>
  </si>
  <si>
    <t xml:space="preserve">AIOps maturity; enterprise-grade scale</t>
  </si>
  <si>
    <t xml:space="preserve">Expensive; DB-focused operators find it generic; no DB IDE</t>
  </si>
  <si>
    <t xml:space="preserve">Grafana Cloud</t>
  </si>
  <si>
    <t xml:space="preserve">Open observability stack</t>
  </si>
  <si>
    <t xml:space="preserve">Prom/Loki/Tempo/Mimir/Pyroscope + PG/MySQL exporters</t>
  </si>
  <si>
    <t xml:space="preserve">LGTM stack; DIY flexibility</t>
  </si>
  <si>
    <t xml:space="preserve">DIY = hours to get meaningful DB signal; no workbench</t>
  </si>
  <si>
    <t xml:space="preserve">Elastic Obs.</t>
  </si>
  <si>
    <t xml:space="preserve">Search-native observability</t>
  </si>
  <si>
    <t xml:space="preserve">APM + logs + infra on Elasticsearch; DB via APM agents</t>
  </si>
  <si>
    <t xml:space="preserve">Powerful full-text search over telemetry</t>
  </si>
  <si>
    <t xml:space="preserve">DB-specific insight is shallow; cost of retention at scale</t>
  </si>
  <si>
    <t xml:space="preserve">AWS RDS PI</t>
  </si>
  <si>
    <t xml:space="preserve">AWS-managed add-on</t>
  </si>
  <si>
    <t xml:space="preserve">Performance Insights for RDS/Aurora: top SQL, waits</t>
  </si>
  <si>
    <t xml:space="preserve">AWS-only</t>
  </si>
  <si>
    <t xml:space="preserve">Zero-setup if on RDS; wait-event dashboards</t>
  </si>
  <si>
    <t xml:space="preserve">AWS lock-in; no alerting; no workbench; read-only analysis</t>
  </si>
  <si>
    <t xml:space="preserve">Redgate SQL Monitor</t>
  </si>
  <si>
    <t xml:space="preserve">SQL Server specialist</t>
  </si>
  <si>
    <t xml:space="preserve">Enterprise-grade SQL Server monitoring + alerting</t>
  </si>
  <si>
    <t xml:space="preserve">Self-host + SaaS</t>
  </si>
  <si>
    <t xml:space="preserve">SQL Server depth; mature enterprise sales</t>
  </si>
  <si>
    <t xml:space="preserve">SQL Server focus; weaker OSS-DB story</t>
  </si>
  <si>
    <t xml:space="preserve">DBeaver</t>
  </si>
  <si>
    <t xml:space="preserve">Free universal DB IDE</t>
  </si>
  <si>
    <t xml:space="preserve">Query + schema browse across 80+ DBs</t>
  </si>
  <si>
    <t xml:space="preserve">Desktop + SaaS (CloudBeaver)</t>
  </si>
  <si>
    <t xml:space="preserve">Broad DB coverage; free tier; ERD</t>
  </si>
  <si>
    <t xml:space="preserve">No monitoring; no alerting; no team observability</t>
  </si>
  <si>
    <t xml:space="preserve">DBmaestro</t>
  </si>
  <si>
    <t xml:space="preserve">DB DevOps / CI-CD</t>
  </si>
  <si>
    <t xml:space="preserve">Schema change pipeline, drift control, policy guardrails</t>
  </si>
  <si>
    <t xml:space="preserve">DB release automation; compliance</t>
  </si>
  <si>
    <t xml:space="preserve">Not a monitoring tool; no query insights; no workbench</t>
  </si>
  <si>
    <t xml:space="preserve">FATHOM — Per-Engine Metric Coverage</t>
  </si>
  <si>
    <t xml:space="preserve">What each UI panel shows for each connected database. ● = direct native signal. ●† = engine-native SUBSTITUTE (the concept differs in this engine; FATHOM surfaces the closest actionable signal in the same panel — see footnotes below).</t>
  </si>
  <si>
    <t xml:space="preserve">Panel</t>
  </si>
  <si>
    <t xml:space="preserve">PostgreSQL</t>
  </si>
  <si>
    <t xml:space="preserve">MySQL</t>
  </si>
  <si>
    <t xml:space="preserve">MongoDB</t>
  </si>
  <si>
    <t xml:space="preserve">Redis</t>
  </si>
  <si>
    <t xml:space="preserve">Elasticsearch</t>
  </si>
  <si>
    <t xml:space="preserve">SQL Server</t>
  </si>
  <si>
    <t xml:space="preserve">Oracle</t>
  </si>
  <si>
    <t xml:space="preserve">Snowflake</t>
  </si>
  <si>
    <t xml:space="preserve">BigQuery</t>
  </si>
  <si>
    <t xml:space="preserve">Redshift</t>
  </si>
  <si>
    <t xml:space="preserve">Cassandra</t>
  </si>
  <si>
    <t xml:space="preserve">DynamoDB</t>
  </si>
  <si>
    <t xml:space="preserve">Core identity &amp; catalog</t>
  </si>
  <si>
    <t xml:space="preserve">Server version / identity</t>
  </si>
  <si>
    <t xml:space="preserve">●</t>
  </si>
  <si>
    <t xml:space="preserve">Database / namespace list</t>
  </si>
  <si>
    <t xml:space="preserve">●†</t>
  </si>
  <si>
    <t xml:space="preserve">Overview KPIs</t>
  </si>
  <si>
    <t xml:space="preserve">Query performance</t>
  </si>
  <si>
    <t xml:space="preserve">Slow-query / top-SQL list</t>
  </si>
  <si>
    <t xml:space="preserve">Plan capture (EXPLAIN)</t>
  </si>
  <si>
    <t xml:space="preserve">Wait-event analysis</t>
  </si>
  <si>
    <t xml:space="preserve">Tables, indexes, connections</t>
  </si>
  <si>
    <t xml:space="preserve">Table / collection stats</t>
  </si>
  <si>
    <t xml:space="preserve">Index stats</t>
  </si>
  <si>
    <t xml:space="preserve">Active connections / sessions</t>
  </si>
  <si>
    <t xml:space="preserve">Contention &amp; replication</t>
  </si>
  <si>
    <t xml:space="preserve">Locks / waits</t>
  </si>
  <si>
    <t xml:space="preserve">Replication / cluster topology</t>
  </si>
  <si>
    <t xml:space="preserve">Bloat / dead-data signal</t>
  </si>
  <si>
    <t xml:space="preserve">Engine-native substitutes (●†)</t>
  </si>
  <si>
    <t xml:space="preserve">Redis / plan &amp; table stats</t>
  </si>
  <si>
    <t xml:space="preserve">Redis has no plans or tables. FATHOM shows MEMORY USAGE + OBJECT ENCODING for "plan", and per-DB keyspace rows for "tables".</t>
  </si>
  <si>
    <t xml:space="preserve">Snowflake / locks</t>
  </si>
  <si>
    <t xml:space="preserve">No row-level locks (MVCC). FATHOM surfaces TRANSACTION_BLOCKED_TIME + QUEUED_OVERLOAD_TIME as concurrency-blocker rows.</t>
  </si>
  <si>
    <t xml:space="preserve">Snowflake / indexes</t>
  </si>
  <si>
    <t xml:space="preserve">No B-trees. FATHOM lists clustering keys and search-optimization-enabled tables instead.</t>
  </si>
  <si>
    <t xml:space="preserve">BigQuery / locks</t>
  </si>
  <si>
    <t xml:space="preserve">Serverless, no row locks. FATHOM shows jobs delayed by slot contention (queue_ms from JOBS_BY_PROJECT).</t>
  </si>
  <si>
    <t xml:space="preserve">BigQuery / indexes</t>
  </si>
  <si>
    <t xml:space="preserve">No B-trees. FATHOM lists partition column + clustering columns per table.</t>
  </si>
  <si>
    <t xml:space="preserve">BigQuery / active connections</t>
  </si>
  <si>
    <t xml:space="preserve">Stateless REST. FATHOM shows currently-running or pending jobs as "active sessions."</t>
  </si>
  <si>
    <t xml:space="preserve">BigQuery / bloat</t>
  </si>
  <si>
    <t xml:space="preserve">Managed storage. FATHOM surfaces cold-tail tables (no writes/reads in N days) that still accrue storage cost.</t>
  </si>
  <si>
    <t xml:space="preserve">Redshift / indexes</t>
  </si>
  <si>
    <t xml:space="preserve">No B-tree indexes. FATHOM lists sort keys + dist keys + encoding per table.</t>
  </si>
  <si>
    <t xml:space="preserve">Redshift / replication</t>
  </si>
  <si>
    <t xml:space="preserve">Snapshot-based. FATHOM shows per-node storage capacity and falls back to snapshot metadata.</t>
  </si>
  <si>
    <t xml:space="preserve">Cassandra / slow queries</t>
  </si>
  <si>
    <t xml:space="preserve">No native slow-query log. FATHOM samples via TRACING ON and reads system_traces.sessions.</t>
  </si>
  <si>
    <t xml:space="preserve">Cassandra / locks</t>
  </si>
  <si>
    <t xml:space="preserve">Paxos, not locks. FATHOM shows hot-partition rows (largest mean_partition_size) as the nearest contention signal.</t>
  </si>
  <si>
    <t xml:space="preserve">Cassandra / wait events</t>
  </si>
  <si>
    <t xml:space="preserve">Requires TRACING. FATHOM aggregates system_traces.events by activity when enabled.</t>
  </si>
  <si>
    <t xml:space="preserve">Cassandra / tables</t>
  </si>
  <si>
    <t xml:space="preserve">No live row counts. FATHOM uses system.size_estimates for approximate partitions_count + bytes.</t>
  </si>
  <si>
    <t xml:space="preserve">DynamoDB / namespace list</t>
  </si>
  <si>
    <t xml:space="preserve">No databases/schemas. FATHOM shows the AWS region as the single logical namespace.</t>
  </si>
  <si>
    <t xml:space="preserve">DynamoDB / active connections</t>
  </si>
  <si>
    <t xml:space="preserve">Stateless REST. FATHOM reserves the panel for CloudWatch-sourced per-principal request counts.</t>
  </si>
  <si>
    <t xml:space="preserve">DynamoDB / slow queries</t>
  </si>
  <si>
    <t xml:space="preserve">No SQL. FATHOM pulls SuccessfulRequestLatency + ThrottledRequests from CloudWatch.</t>
  </si>
  <si>
    <t xml:space="preserve">DynamoDB / locks</t>
  </si>
  <si>
    <t xml:space="preserve">Conditional writes, not locks. FATHOM points the panel at ConditionalCheckFailedRequests.</t>
  </si>
  <si>
    <t xml:space="preserve">DynamoDB / wait events</t>
  </si>
  <si>
    <t xml:space="preserve">Throttle metrics. FATHOM routes ReadThrottleEvents + WriteThrottleEvents + SystemErrors from CloudWatch.</t>
  </si>
  <si>
    <t xml:space="preserve">DynamoDB / indexes</t>
  </si>
  <si>
    <t xml:space="preserve">GSIs + LSIs from DescribeTable (kind and status per secondary index).</t>
  </si>
  <si>
    <t xml:space="preserve">DynamoDB / bloat</t>
  </si>
  <si>
    <t xml:space="preserve">Cold tables (unchanged for 30+ days with zero items) — candidates for deletion.</t>
  </si>
  <si>
    <t xml:space="preserve">MySQL / bloat</t>
  </si>
  <si>
    <t xml:space="preserve">No dead-tuple model. FATHOM shows InnoDB table fragmentation % via information_schema.</t>
  </si>
  <si>
    <t xml:space="preserve">MongoDB / bloat</t>
  </si>
  <si>
    <t xml:space="preserve">Uses WiredTiger block stats: storageSize vs dataSize gap per collection.</t>
  </si>
  <si>
    <t xml:space="preserve">SQL Server / bloat</t>
  </si>
  <si>
    <t xml:space="preserve">Page-density stats from sys.dm_db_index_physical_stats (fragmentation + page density).</t>
  </si>
  <si>
    <t xml:space="preserve">Oracle / bloat</t>
  </si>
  <si>
    <t xml:space="preserve">Segment Advisor recommendations from dba_advisor_findings (requires Tuning Pack license).</t>
  </si>
  <si>
    <t xml:space="preserve">Database Support</t>
  </si>
  <si>
    <t xml:space="preserve">Which databases each tool can monitor, query, or integrate with.</t>
  </si>
  <si>
    <t xml:space="preserve">Feature / Dimension</t>
  </si>
  <si>
    <t xml:space="preserve">Monitoring &amp; observability support per database</t>
  </si>
  <si>
    <t xml:space="preserve">Databases</t>
  </si>
  <si>
    <t xml:space="preserve">◐</t>
  </si>
  <si>
    <t xml:space="preserve">MySQL / MariaDB</t>
  </si>
  <si>
    <t xml:space="preserve">Microsoft SQL Server</t>
  </si>
  <si>
    <t xml:space="preserve">Cloud data warehouses (BQ / Snowflake / Redshift)</t>
  </si>
  <si>
    <t xml:space="preserve">NoSQL wide-column (Cassandra / Dynamo)</t>
  </si>
  <si>
    <t xml:space="preserve">DB count (primary focus)</t>
  </si>
  <si>
    <t xml:space="preserve">12</t>
  </si>
  <si>
    <t xml:space="preserve">30+</t>
  </si>
  <si>
    <t xml:space="preserve">1</t>
  </si>
  <si>
    <t xml:space="preserve">App</t>
  </si>
  <si>
    <t xml:space="preserve">80+</t>
  </si>
  <si>
    <t xml:space="preserve">5+</t>
  </si>
  <si>
    <t xml:space="preserve">20+</t>
  </si>
  <si>
    <t xml:space="preserve">RDS</t>
  </si>
  <si>
    <t xml:space="preserve">SQL</t>
  </si>
  <si>
    <t xml:space="preserve">10+</t>
  </si>
  <si>
    <t xml:space="preserve">FATHOM-grade features (● count)</t>
  </si>
  <si>
    <t xml:space="preserve">Monitoring</t>
  </si>
  <si>
    <t xml:space="preserve">Depth of live DB monitoring, diagnostics, and interactive workbench.</t>
  </si>
  <si>
    <t xml:space="preserve">Live monitoring &amp; query-level insight</t>
  </si>
  <si>
    <t xml:space="preserve">Live</t>
  </si>
  <si>
    <t xml:space="preserve">Real-time metrics dashboard</t>
  </si>
  <si>
    <t xml:space="preserve">Top/slow query ranking</t>
  </si>
  <si>
    <t xml:space="preserve">Wait-event / lock analysis</t>
  </si>
  <si>
    <t xml:space="preserve">Plan capture (EXPLAIN ANALYZE)</t>
  </si>
  <si>
    <t xml:space="preserve">Connection / pool telemetry</t>
  </si>
  <si>
    <t xml:space="preserve">Replication lag monitoring</t>
  </si>
  <si>
    <t xml:space="preserve">Diagnostics &amp; tuning</t>
  </si>
  <si>
    <t xml:space="preserve">Tuning</t>
  </si>
  <si>
    <t xml:space="preserve">Index advisor (missing/unused)</t>
  </si>
  <si>
    <t xml:space="preserve">Bloat / vacuum watcher</t>
  </si>
  <si>
    <t xml:space="preserve">Schema diff between connections</t>
  </si>
  <si>
    <t xml:space="preserve">AI-assisted query suggestion</t>
  </si>
  <si>
    <t xml:space="preserve">Anomaly detection</t>
  </si>
  <si>
    <t xml:space="preserve">Interactive workbench</t>
  </si>
  <si>
    <t xml:space="preserve">Workbench</t>
  </si>
  <si>
    <t xml:space="preserve">SQL editor with history</t>
  </si>
  <si>
    <t xml:space="preserve">Query tabs &amp; snippets</t>
  </si>
  <si>
    <t xml:space="preserve">Visual EXPLAIN plan</t>
  </si>
  <si>
    <t xml:space="preserve">Schema / ERD browser</t>
  </si>
  <si>
    <t xml:space="preserve">Observability</t>
  </si>
  <si>
    <t xml:space="preserve">APM, traces, logs, metrics, and SDK coverage.</t>
  </si>
  <si>
    <t xml:space="preserve">Application observability (APM / traces / logs / metrics)</t>
  </si>
  <si>
    <t xml:space="preserve">APM</t>
  </si>
  <si>
    <t xml:space="preserve">Distributed tracing (OTLP ingest)</t>
  </si>
  <si>
    <t xml:space="preserve">Metrics ingest (Prom/OTel)</t>
  </si>
  <si>
    <t xml:space="preserve">Log aggregation</t>
  </si>
  <si>
    <t xml:space="preserve">Error tracking</t>
  </si>
  <si>
    <t xml:space="preserve">RUM (real-user monitoring)</t>
  </si>
  <si>
    <t xml:space="preserve">Synthetic monitoring</t>
  </si>
  <si>
    <t xml:space="preserve">SDKs &amp; ingest APIs</t>
  </si>
  <si>
    <t xml:space="preserve">SDKs</t>
  </si>
  <si>
    <t xml:space="preserve">JavaScript / Node SDK</t>
  </si>
  <si>
    <t xml:space="preserve">Python SDK</t>
  </si>
  <si>
    <t xml:space="preserve">Go SDK</t>
  </si>
  <si>
    <t xml:space="preserve">OpenAPI spec for ingest</t>
  </si>
  <si>
    <t xml:space="preserve">OpenTelemetry-native</t>
  </si>
  <si>
    <t xml:space="preserve">Enterprise</t>
  </si>
  <si>
    <t xml:space="preserve">Identity, authentication, compliance, and audit capabilities.</t>
  </si>
  <si>
    <t xml:space="preserve">Identity &amp; authentication</t>
  </si>
  <si>
    <t xml:space="preserve">Identity</t>
  </si>
  <si>
    <t xml:space="preserve">SAML 2.0 SSO</t>
  </si>
  <si>
    <t xml:space="preserve">$</t>
  </si>
  <si>
    <t xml:space="preserve">SCIM 2.0 provisioning</t>
  </si>
  <si>
    <t xml:space="preserve">OIDC</t>
  </si>
  <si>
    <t xml:space="preserve">Granular RBAC</t>
  </si>
  <si>
    <t xml:space="preserve">IP allow-list per workspace</t>
  </si>
  <si>
    <t xml:space="preserve">Compliance &amp; audit</t>
  </si>
  <si>
    <t xml:space="preserve">Compliance</t>
  </si>
  <si>
    <t xml:space="preserve">Audit log (admin actions)</t>
  </si>
  <si>
    <t xml:space="preserve">Audit log streaming export</t>
  </si>
  <si>
    <t xml:space="preserve">SOC 2 Type II</t>
  </si>
  <si>
    <t xml:space="preserve">HIPAA / BAA</t>
  </si>
  <si>
    <t xml:space="preserve">At-rest secret encryption (AES-256-GCM)</t>
  </si>
  <si>
    <t xml:space="preserve">BYOK / customer-managed keys</t>
  </si>
  <si>
    <t xml:space="preserve">Integrations</t>
  </si>
  <si>
    <t xml:space="preserve">Alert fan-out destinations and ecosystem integrations.</t>
  </si>
  <si>
    <t xml:space="preserve">Alert fan-out destinations</t>
  </si>
  <si>
    <t xml:space="preserve">Alerts</t>
  </si>
  <si>
    <t xml:space="preserve">Slack</t>
  </si>
  <si>
    <t xml:space="preserve">PagerDuty</t>
  </si>
  <si>
    <t xml:space="preserve">Opsgenie</t>
  </si>
  <si>
    <t xml:space="preserve">Microsoft Teams</t>
  </si>
  <si>
    <t xml:space="preserve">Email</t>
  </si>
  <si>
    <t xml:space="preserve">Signed webhook</t>
  </si>
  <si>
    <t xml:space="preserve">Ecosystem integrations</t>
  </si>
  <si>
    <t xml:space="preserve">Ecosystem</t>
  </si>
  <si>
    <t xml:space="preserve">Terraform provider</t>
  </si>
  <si>
    <t xml:space="preserve">Kubernetes operator / k8s insights</t>
  </si>
  <si>
    <t xml:space="preserve">Status page</t>
  </si>
  <si>
    <t xml:space="preserve">GitHub / GitLab integration</t>
  </si>
  <si>
    <t xml:space="preserve">Deployment topologies and tenancy models.</t>
  </si>
  <si>
    <t xml:space="preserve">Deployment &amp; hosting</t>
  </si>
  <si>
    <t xml:space="preserve">Deploy</t>
  </si>
  <si>
    <t xml:space="preserve">Self-hosted / on-prem</t>
  </si>
  <si>
    <t xml:space="preserve">Air-gapped</t>
  </si>
  <si>
    <t xml:space="preserve">Kubernetes Helm chart</t>
  </si>
  <si>
    <t xml:space="preserve">Docker / container</t>
  </si>
  <si>
    <t xml:space="preserve">Multi-tenant (per-workspace isolation)</t>
  </si>
  <si>
    <t xml:space="preserve">Client-side desktop app</t>
  </si>
  <si>
    <t xml:space="preserve">Pricing</t>
  </si>
  <si>
    <t xml:space="preserve">Commercial structure and indicative starting price (public list).</t>
  </si>
  <si>
    <t xml:space="preserve">Commercial terms</t>
  </si>
  <si>
    <t xml:space="preserve">Free tier</t>
  </si>
  <si>
    <t xml:space="preserve">Open-source core</t>
  </si>
  <si>
    <t xml:space="preserve">Pricing model</t>
  </si>
  <si>
    <t xml:space="preserve">Per-host / per-DB</t>
  </si>
  <si>
    <t xml:space="preserve">Per-host + per-query</t>
  </si>
  <si>
    <t xml:space="preserve">Per-DB</t>
  </si>
  <si>
    <t xml:space="preserve">Per-event</t>
  </si>
  <si>
    <t xml:space="preserve">Per-seat</t>
  </si>
  <si>
    <t xml:space="preserve">Free</t>
  </si>
  <si>
    <t xml:space="preserve">Free / support</t>
  </si>
  <si>
    <t xml:space="preserve">Per-GB + per-host</t>
  </si>
  <si>
    <t xml:space="preserve">Per-host</t>
  </si>
  <si>
    <t xml:space="preserve">Per-user + usage</t>
  </si>
  <si>
    <t xml:space="preserve">Per-GB + per-node</t>
  </si>
  <si>
    <t xml:space="preserve">Bundled with RDS</t>
  </si>
  <si>
    <t xml:space="preserve">Per-server</t>
  </si>
  <si>
    <t xml:space="preserve">Per-seat / free</t>
  </si>
  <si>
    <t xml:space="preserve">Typical starting price (USD/mo)</t>
  </si>
  <si>
    <t xml:space="preserve">$49</t>
  </si>
  <si>
    <t xml:space="preserve">$70/host</t>
  </si>
  <si>
    <t xml:space="preserve">$149</t>
  </si>
  <si>
    <t xml:space="preserve">$26</t>
  </si>
  <si>
    <t xml:space="preserve">$229/yr</t>
  </si>
  <si>
    <t xml:space="preserve">$99</t>
  </si>
  <si>
    <t xml:space="preserve">$21/host*</t>
  </si>
  <si>
    <t xml:space="preserve">$0 + usage</t>
  </si>
  <si>
    <t xml:space="preserve">$95</t>
  </si>
  <si>
    <t xml:space="preserve">$0.70/vCPU-mo</t>
  </si>
  <si>
    <t xml:space="preserve">$1,565/yr</t>
  </si>
  <si>
    <t xml:space="preserve">Free / $19</t>
  </si>
  <si>
    <t xml:space="preserve">Quote</t>
  </si>
  <si>
    <t xml:space="preserve">Enterprise SSO included</t>
  </si>
  <si>
    <t xml:space="preserve">Symbol Key</t>
  </si>
  <si>
    <t xml:space="preserve">Symbol</t>
  </si>
  <si>
    <t xml:space="preserve">Meaning</t>
  </si>
  <si>
    <t xml:space="preserve">Detail</t>
  </si>
  <si>
    <t xml:space="preserve">Native / first-class</t>
  </si>
  <si>
    <t xml:space="preserve">Built into the core product; no add-on or configuration burden.</t>
  </si>
  <si>
    <t xml:space="preserve">Partial / limited</t>
  </si>
  <si>
    <t xml:space="preserve">Available but with caveats — scope-limited, needs extra config, or second-class UX.</t>
  </si>
  <si>
    <t xml:space="preserve">Paid add-on / higher tier</t>
  </si>
  <si>
    <t xml:space="preserve">Feature exists but is gated behind a higher price tier or SKU.</t>
  </si>
  <si>
    <t xml:space="preserve">Not supported</t>
  </si>
  <si>
    <t xml:space="preserve">Feature is not provided by this tool.</t>
  </si>
  <si>
    <t xml:space="preserve">Notes</t>
  </si>
  <si>
    <t xml:space="preserve">•</t>
  </si>
  <si>
    <t xml:space="preserve">Comparison reflects publicly documented capabilities as of Q2 2026.</t>
  </si>
  <si>
    <t xml:space="preserve">Datadog / New Relic / Dynatrace bundles reflect their highest-tier DBM/APM offerings.</t>
  </si>
  <si>
    <t xml:space="preserve">Open-source tools (pgBadger, pgHero, PMM) are compared on their free/core editions.</t>
  </si>
  <si>
    <t xml:space="preserve">"FATHOM" column values reflect capabilities verified in the current codebase; other columns reflect vendor documentation.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</si>
</sst>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F2F2F2"/>
      </patternFill>
    </fill>
    <fill>
      <patternFill patternType="solid">
        <fgColor rgb="FF595959"/>
        <bgColor rgb="FF2F5496"/>
      </patternFill>
    </fill>
    <fill>
      <patternFill patternType="solid">
        <fgColor rgb="FFFFF8E1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D9E1F2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2" hidden="false" customHeight="tru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12</v>
      </c>
    </row>
    <row r="6" customFormat="false" ht="42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</row>
    <row r="7" customFormat="false" ht="42" hidden="false" customHeight="true" outlineLevel="0" collapsed="false">
      <c r="A7" s="6" t="s">
        <v>19</v>
      </c>
      <c r="B7" s="6" t="s">
        <v>20</v>
      </c>
      <c r="C7" s="6" t="s">
        <v>21</v>
      </c>
      <c r="D7" s="6" t="s">
        <v>11</v>
      </c>
      <c r="E7" s="6" t="s">
        <v>22</v>
      </c>
      <c r="F7" s="6" t="s">
        <v>23</v>
      </c>
    </row>
    <row r="8" customFormat="false" ht="42" hidden="false" customHeight="true" outlineLevel="0" collapsed="false">
      <c r="A8" s="6" t="s">
        <v>24</v>
      </c>
      <c r="B8" s="6" t="s">
        <v>25</v>
      </c>
      <c r="C8" s="6" t="s">
        <v>26</v>
      </c>
      <c r="D8" s="6" t="s">
        <v>11</v>
      </c>
      <c r="E8" s="6" t="s">
        <v>27</v>
      </c>
      <c r="F8" s="6" t="s">
        <v>28</v>
      </c>
    </row>
    <row r="9" customFormat="false" ht="42" hidden="false" customHeight="true" outlineLevel="0" collapsed="false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6" t="s">
        <v>34</v>
      </c>
    </row>
    <row r="10" customFormat="false" ht="42" hidden="false" customHeight="true" outlineLevel="0" collapsed="false">
      <c r="A10" s="6" t="s">
        <v>35</v>
      </c>
      <c r="B10" s="6" t="s">
        <v>36</v>
      </c>
      <c r="C10" s="6" t="s">
        <v>37</v>
      </c>
      <c r="D10" s="6" t="s">
        <v>38</v>
      </c>
      <c r="E10" s="6" t="s">
        <v>39</v>
      </c>
      <c r="F10" s="6" t="s">
        <v>40</v>
      </c>
    </row>
    <row r="11" customFormat="false" ht="42" hidden="false" customHeight="true" outlineLevel="0" collapsed="false">
      <c r="A11" s="6" t="s">
        <v>41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46</v>
      </c>
    </row>
    <row r="12" customFormat="false" ht="42" hidden="false" customHeight="true" outlineLevel="0" collapsed="false">
      <c r="A12" s="6" t="s">
        <v>47</v>
      </c>
      <c r="B12" s="6" t="s">
        <v>48</v>
      </c>
      <c r="C12" s="6" t="s">
        <v>49</v>
      </c>
      <c r="D12" s="6" t="s">
        <v>50</v>
      </c>
      <c r="E12" s="6" t="s">
        <v>51</v>
      </c>
      <c r="F12" s="6" t="s">
        <v>52</v>
      </c>
    </row>
    <row r="13" customFormat="false" ht="42" hidden="false" customHeight="true" outlineLevel="0" collapsed="false">
      <c r="A13" s="6" t="s">
        <v>53</v>
      </c>
      <c r="B13" s="6" t="s">
        <v>54</v>
      </c>
      <c r="C13" s="6" t="s">
        <v>55</v>
      </c>
      <c r="D13" s="6" t="s">
        <v>16</v>
      </c>
      <c r="E13" s="6" t="s">
        <v>56</v>
      </c>
      <c r="F13" s="6" t="s">
        <v>57</v>
      </c>
    </row>
    <row r="14" customFormat="false" ht="42" hidden="false" customHeight="true" outlineLevel="0" collapsed="false">
      <c r="A14" s="6" t="s">
        <v>58</v>
      </c>
      <c r="B14" s="6" t="s">
        <v>59</v>
      </c>
      <c r="C14" s="6" t="s">
        <v>60</v>
      </c>
      <c r="D14" s="6" t="s">
        <v>61</v>
      </c>
      <c r="E14" s="6" t="s">
        <v>62</v>
      </c>
      <c r="F14" s="6" t="s">
        <v>63</v>
      </c>
    </row>
    <row r="15" customFormat="false" ht="42" hidden="false" customHeight="true" outlineLevel="0" collapsed="false">
      <c r="A15" s="6" t="s">
        <v>64</v>
      </c>
      <c r="B15" s="6" t="s">
        <v>65</v>
      </c>
      <c r="C15" s="6" t="s">
        <v>66</v>
      </c>
      <c r="D15" s="6" t="s">
        <v>11</v>
      </c>
      <c r="E15" s="6" t="s">
        <v>67</v>
      </c>
      <c r="F15" s="6" t="s">
        <v>68</v>
      </c>
    </row>
    <row r="16" customFormat="false" ht="42" hidden="false" customHeight="true" outlineLevel="0" collapsed="false">
      <c r="A16" s="6" t="s">
        <v>69</v>
      </c>
      <c r="B16" s="6" t="s">
        <v>70</v>
      </c>
      <c r="C16" s="6" t="s">
        <v>71</v>
      </c>
      <c r="D16" s="6" t="s">
        <v>11</v>
      </c>
      <c r="E16" s="6" t="s">
        <v>72</v>
      </c>
      <c r="F16" s="6" t="s">
        <v>73</v>
      </c>
    </row>
    <row r="17" customFormat="false" ht="42" hidden="false" customHeight="true" outlineLevel="0" collapsed="false">
      <c r="A17" s="6" t="s">
        <v>74</v>
      </c>
      <c r="B17" s="6" t="s">
        <v>75</v>
      </c>
      <c r="C17" s="6" t="s">
        <v>76</v>
      </c>
      <c r="D17" s="6" t="s">
        <v>77</v>
      </c>
      <c r="E17" s="6" t="s">
        <v>78</v>
      </c>
      <c r="F17" s="6" t="s">
        <v>79</v>
      </c>
    </row>
    <row r="18" customFormat="false" ht="42" hidden="false" customHeight="true" outlineLevel="0" collapsed="false">
      <c r="A18" s="6" t="s">
        <v>80</v>
      </c>
      <c r="B18" s="6" t="s">
        <v>81</v>
      </c>
      <c r="C18" s="6" t="s">
        <v>82</v>
      </c>
      <c r="D18" s="6" t="s">
        <v>83</v>
      </c>
      <c r="E18" s="6" t="s">
        <v>84</v>
      </c>
      <c r="F18" s="6" t="s">
        <v>85</v>
      </c>
    </row>
    <row r="19" customFormat="false" ht="42" hidden="false" customHeight="true" outlineLevel="0" collapsed="false">
      <c r="A19" s="6" t="s">
        <v>86</v>
      </c>
      <c r="B19" s="6" t="s">
        <v>87</v>
      </c>
      <c r="C19" s="6" t="s">
        <v>88</v>
      </c>
      <c r="D19" s="6" t="s">
        <v>89</v>
      </c>
      <c r="E19" s="6" t="s">
        <v>90</v>
      </c>
      <c r="F19" s="6" t="s">
        <v>91</v>
      </c>
    </row>
    <row r="20" customFormat="false" ht="42" hidden="false" customHeight="true" outlineLevel="0" collapsed="false">
      <c r="A20" s="6" t="s">
        <v>92</v>
      </c>
      <c r="B20" s="6" t="s">
        <v>93</v>
      </c>
      <c r="C20" s="6" t="s">
        <v>94</v>
      </c>
      <c r="D20" s="6" t="s">
        <v>11</v>
      </c>
      <c r="E20" s="6" t="s">
        <v>95</v>
      </c>
      <c r="F20" s="6" t="s">
        <v>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1"/>
  </cols>
  <sheetData>
    <row r="1" customFormat="false" ht="25.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  <c r="I3" s="3" t="s">
        <v>107</v>
      </c>
      <c r="J3" s="3" t="s">
        <v>108</v>
      </c>
      <c r="K3" s="3" t="s">
        <v>109</v>
      </c>
      <c r="L3" s="3" t="s">
        <v>110</v>
      </c>
      <c r="M3" s="3" t="s">
        <v>111</v>
      </c>
    </row>
    <row r="4" customFormat="false" ht="19.5" hidden="false" customHeight="true" outlineLevel="0" collapsed="false">
      <c r="A4" s="7" t="s">
        <v>112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6" t="s">
        <v>113</v>
      </c>
      <c r="B5" s="8" t="s">
        <v>114</v>
      </c>
      <c r="C5" s="8" t="s">
        <v>114</v>
      </c>
      <c r="D5" s="8" t="s">
        <v>114</v>
      </c>
      <c r="E5" s="8" t="s">
        <v>114</v>
      </c>
      <c r="F5" s="8" t="s">
        <v>114</v>
      </c>
      <c r="G5" s="8" t="s">
        <v>114</v>
      </c>
      <c r="H5" s="8" t="s">
        <v>114</v>
      </c>
      <c r="I5" s="8" t="s">
        <v>114</v>
      </c>
      <c r="J5" s="8" t="s">
        <v>114</v>
      </c>
      <c r="K5" s="8" t="s">
        <v>114</v>
      </c>
      <c r="L5" s="8" t="s">
        <v>114</v>
      </c>
      <c r="M5" s="8" t="s">
        <v>114</v>
      </c>
    </row>
    <row r="6" customFormat="false" ht="15" hidden="false" customHeight="false" outlineLevel="0" collapsed="false">
      <c r="A6" s="6" t="s">
        <v>115</v>
      </c>
      <c r="B6" s="8" t="s">
        <v>114</v>
      </c>
      <c r="C6" s="8" t="s">
        <v>114</v>
      </c>
      <c r="D6" s="8" t="s">
        <v>114</v>
      </c>
      <c r="E6" s="8" t="s">
        <v>114</v>
      </c>
      <c r="F6" s="8" t="s">
        <v>114</v>
      </c>
      <c r="G6" s="8" t="s">
        <v>114</v>
      </c>
      <c r="H6" s="8" t="s">
        <v>114</v>
      </c>
      <c r="I6" s="8" t="s">
        <v>114</v>
      </c>
      <c r="J6" s="8" t="s">
        <v>114</v>
      </c>
      <c r="K6" s="8" t="s">
        <v>114</v>
      </c>
      <c r="L6" s="8" t="s">
        <v>114</v>
      </c>
      <c r="M6" s="9" t="s">
        <v>116</v>
      </c>
    </row>
    <row r="7" customFormat="false" ht="15" hidden="false" customHeight="false" outlineLevel="0" collapsed="false">
      <c r="A7" s="6" t="s">
        <v>117</v>
      </c>
      <c r="B7" s="8" t="s">
        <v>114</v>
      </c>
      <c r="C7" s="8" t="s">
        <v>114</v>
      </c>
      <c r="D7" s="8" t="s">
        <v>114</v>
      </c>
      <c r="E7" s="8" t="s">
        <v>114</v>
      </c>
      <c r="F7" s="8" t="s">
        <v>114</v>
      </c>
      <c r="G7" s="8" t="s">
        <v>114</v>
      </c>
      <c r="H7" s="8" t="s">
        <v>114</v>
      </c>
      <c r="I7" s="8" t="s">
        <v>114</v>
      </c>
      <c r="J7" s="8" t="s">
        <v>114</v>
      </c>
      <c r="K7" s="8" t="s">
        <v>114</v>
      </c>
      <c r="L7" s="8" t="s">
        <v>114</v>
      </c>
      <c r="M7" s="8" t="s">
        <v>114</v>
      </c>
    </row>
    <row r="8" customFormat="false" ht="19.5" hidden="false" customHeight="true" outlineLevel="0" collapsed="false">
      <c r="A8" s="7" t="s">
        <v>118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false" outlineLevel="0" collapsed="false">
      <c r="A9" s="6" t="s">
        <v>119</v>
      </c>
      <c r="B9" s="8" t="s">
        <v>114</v>
      </c>
      <c r="C9" s="8" t="s">
        <v>114</v>
      </c>
      <c r="D9" s="8" t="s">
        <v>114</v>
      </c>
      <c r="E9" s="8" t="s">
        <v>114</v>
      </c>
      <c r="F9" s="8" t="s">
        <v>114</v>
      </c>
      <c r="G9" s="8" t="s">
        <v>114</v>
      </c>
      <c r="H9" s="8" t="s">
        <v>114</v>
      </c>
      <c r="I9" s="8" t="s">
        <v>114</v>
      </c>
      <c r="J9" s="8" t="s">
        <v>114</v>
      </c>
      <c r="K9" s="8" t="s">
        <v>114</v>
      </c>
      <c r="L9" s="9" t="s">
        <v>116</v>
      </c>
      <c r="M9" s="9" t="s">
        <v>116</v>
      </c>
    </row>
    <row r="10" customFormat="false" ht="15" hidden="false" customHeight="false" outlineLevel="0" collapsed="false">
      <c r="A10" s="6" t="s">
        <v>120</v>
      </c>
      <c r="B10" s="8" t="s">
        <v>114</v>
      </c>
      <c r="C10" s="8" t="s">
        <v>114</v>
      </c>
      <c r="D10" s="8" t="s">
        <v>114</v>
      </c>
      <c r="E10" s="9" t="s">
        <v>116</v>
      </c>
      <c r="F10" s="8" t="s">
        <v>114</v>
      </c>
      <c r="G10" s="8" t="s">
        <v>114</v>
      </c>
      <c r="H10" s="8" t="s">
        <v>114</v>
      </c>
      <c r="I10" s="8" t="s">
        <v>114</v>
      </c>
      <c r="J10" s="8" t="s">
        <v>114</v>
      </c>
      <c r="K10" s="8" t="s">
        <v>114</v>
      </c>
      <c r="L10" s="9" t="s">
        <v>116</v>
      </c>
      <c r="M10" s="9" t="s">
        <v>116</v>
      </c>
    </row>
    <row r="11" customFormat="false" ht="15" hidden="false" customHeight="false" outlineLevel="0" collapsed="false">
      <c r="A11" s="6" t="s">
        <v>121</v>
      </c>
      <c r="B11" s="8" t="s">
        <v>114</v>
      </c>
      <c r="C11" s="8" t="s">
        <v>114</v>
      </c>
      <c r="D11" s="8" t="s">
        <v>114</v>
      </c>
      <c r="E11" s="8" t="s">
        <v>114</v>
      </c>
      <c r="F11" s="8" t="s">
        <v>114</v>
      </c>
      <c r="G11" s="8" t="s">
        <v>114</v>
      </c>
      <c r="H11" s="8" t="s">
        <v>114</v>
      </c>
      <c r="I11" s="8" t="s">
        <v>114</v>
      </c>
      <c r="J11" s="8" t="s">
        <v>114</v>
      </c>
      <c r="K11" s="8" t="s">
        <v>114</v>
      </c>
      <c r="L11" s="9" t="s">
        <v>116</v>
      </c>
      <c r="M11" s="9" t="s">
        <v>116</v>
      </c>
    </row>
    <row r="12" customFormat="false" ht="19.5" hidden="false" customHeight="true" outlineLevel="0" collapsed="false">
      <c r="A12" s="7" t="s">
        <v>122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5" hidden="false" customHeight="false" outlineLevel="0" collapsed="false">
      <c r="A13" s="6" t="s">
        <v>123</v>
      </c>
      <c r="B13" s="8" t="s">
        <v>114</v>
      </c>
      <c r="C13" s="8" t="s">
        <v>114</v>
      </c>
      <c r="D13" s="8" t="s">
        <v>114</v>
      </c>
      <c r="E13" s="9" t="s">
        <v>116</v>
      </c>
      <c r="F13" s="8" t="s">
        <v>114</v>
      </c>
      <c r="G13" s="8" t="s">
        <v>114</v>
      </c>
      <c r="H13" s="8" t="s">
        <v>114</v>
      </c>
      <c r="I13" s="8" t="s">
        <v>114</v>
      </c>
      <c r="J13" s="8" t="s">
        <v>114</v>
      </c>
      <c r="K13" s="8" t="s">
        <v>114</v>
      </c>
      <c r="L13" s="9" t="s">
        <v>116</v>
      </c>
      <c r="M13" s="8" t="s">
        <v>114</v>
      </c>
    </row>
    <row r="14" customFormat="false" ht="15" hidden="false" customHeight="false" outlineLevel="0" collapsed="false">
      <c r="A14" s="6" t="s">
        <v>124</v>
      </c>
      <c r="B14" s="8" t="s">
        <v>114</v>
      </c>
      <c r="C14" s="8" t="s">
        <v>114</v>
      </c>
      <c r="D14" s="8" t="s">
        <v>114</v>
      </c>
      <c r="E14" s="9" t="s">
        <v>116</v>
      </c>
      <c r="F14" s="8" t="s">
        <v>114</v>
      </c>
      <c r="G14" s="8" t="s">
        <v>114</v>
      </c>
      <c r="H14" s="8" t="s">
        <v>114</v>
      </c>
      <c r="I14" s="9" t="s">
        <v>116</v>
      </c>
      <c r="J14" s="9" t="s">
        <v>116</v>
      </c>
      <c r="K14" s="9" t="s">
        <v>116</v>
      </c>
      <c r="L14" s="8" t="s">
        <v>114</v>
      </c>
      <c r="M14" s="9" t="s">
        <v>116</v>
      </c>
    </row>
    <row r="15" customFormat="false" ht="15" hidden="false" customHeight="false" outlineLevel="0" collapsed="false">
      <c r="A15" s="6" t="s">
        <v>125</v>
      </c>
      <c r="B15" s="8" t="s">
        <v>114</v>
      </c>
      <c r="C15" s="8" t="s">
        <v>114</v>
      </c>
      <c r="D15" s="8" t="s">
        <v>114</v>
      </c>
      <c r="E15" s="8" t="s">
        <v>114</v>
      </c>
      <c r="F15" s="8" t="s">
        <v>114</v>
      </c>
      <c r="G15" s="8" t="s">
        <v>114</v>
      </c>
      <c r="H15" s="8" t="s">
        <v>114</v>
      </c>
      <c r="I15" s="8" t="s">
        <v>114</v>
      </c>
      <c r="J15" s="9" t="s">
        <v>116</v>
      </c>
      <c r="K15" s="8" t="s">
        <v>114</v>
      </c>
      <c r="L15" s="8" t="s">
        <v>114</v>
      </c>
      <c r="M15" s="9" t="s">
        <v>116</v>
      </c>
    </row>
    <row r="16" customFormat="false" ht="19.5" hidden="false" customHeight="true" outlineLevel="0" collapsed="false">
      <c r="A16" s="7" t="s">
        <v>126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false" outlineLevel="0" collapsed="false">
      <c r="A17" s="6" t="s">
        <v>127</v>
      </c>
      <c r="B17" s="8" t="s">
        <v>114</v>
      </c>
      <c r="C17" s="8" t="s">
        <v>114</v>
      </c>
      <c r="D17" s="8" t="s">
        <v>114</v>
      </c>
      <c r="E17" s="9" t="s">
        <v>116</v>
      </c>
      <c r="F17" s="9" t="s">
        <v>116</v>
      </c>
      <c r="G17" s="8" t="s">
        <v>114</v>
      </c>
      <c r="H17" s="8" t="s">
        <v>114</v>
      </c>
      <c r="I17" s="9" t="s">
        <v>116</v>
      </c>
      <c r="J17" s="9" t="s">
        <v>116</v>
      </c>
      <c r="K17" s="8" t="s">
        <v>114</v>
      </c>
      <c r="L17" s="9" t="s">
        <v>116</v>
      </c>
      <c r="M17" s="9" t="s">
        <v>116</v>
      </c>
    </row>
    <row r="18" customFormat="false" ht="15" hidden="false" customHeight="false" outlineLevel="0" collapsed="false">
      <c r="A18" s="6" t="s">
        <v>128</v>
      </c>
      <c r="B18" s="8" t="s">
        <v>114</v>
      </c>
      <c r="C18" s="8" t="s">
        <v>114</v>
      </c>
      <c r="D18" s="8" t="s">
        <v>114</v>
      </c>
      <c r="E18" s="8" t="s">
        <v>114</v>
      </c>
      <c r="F18" s="8" t="s">
        <v>114</v>
      </c>
      <c r="G18" s="8" t="s">
        <v>114</v>
      </c>
      <c r="H18" s="8" t="s">
        <v>114</v>
      </c>
      <c r="I18" s="8" t="s">
        <v>114</v>
      </c>
      <c r="J18" s="8" t="s">
        <v>114</v>
      </c>
      <c r="K18" s="8" t="s">
        <v>114</v>
      </c>
      <c r="L18" s="8" t="s">
        <v>114</v>
      </c>
      <c r="M18" s="8" t="s">
        <v>114</v>
      </c>
    </row>
    <row r="19" customFormat="false" ht="15" hidden="false" customHeight="false" outlineLevel="0" collapsed="false">
      <c r="A19" s="6" t="s">
        <v>129</v>
      </c>
      <c r="B19" s="8" t="s">
        <v>114</v>
      </c>
      <c r="C19" s="9" t="s">
        <v>116</v>
      </c>
      <c r="D19" s="9" t="s">
        <v>116</v>
      </c>
      <c r="E19" s="9" t="s">
        <v>116</v>
      </c>
      <c r="F19" s="9" t="s">
        <v>116</v>
      </c>
      <c r="G19" s="9" t="s">
        <v>116</v>
      </c>
      <c r="H19" s="9" t="s">
        <v>116</v>
      </c>
      <c r="I19" s="9" t="s">
        <v>116</v>
      </c>
      <c r="J19" s="9" t="s">
        <v>116</v>
      </c>
      <c r="K19" s="8" t="s">
        <v>114</v>
      </c>
      <c r="L19" s="9" t="s">
        <v>116</v>
      </c>
      <c r="M19" s="9" t="s">
        <v>116</v>
      </c>
    </row>
    <row r="22" customFormat="false" ht="15" hidden="false" customHeight="true" outlineLevel="0" collapsed="false">
      <c r="A22" s="7" t="s">
        <v>130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27.75" hidden="false" customHeight="true" outlineLevel="0" collapsed="false">
      <c r="A23" s="10" t="s">
        <v>131</v>
      </c>
      <c r="B23" s="11" t="s">
        <v>132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27.75" hidden="false" customHeight="true" outlineLevel="0" collapsed="false">
      <c r="A24" s="10" t="s">
        <v>133</v>
      </c>
      <c r="B24" s="11" t="s">
        <v>134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27.75" hidden="false" customHeight="true" outlineLevel="0" collapsed="false">
      <c r="A25" s="10" t="s">
        <v>135</v>
      </c>
      <c r="B25" s="11" t="s">
        <v>136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27.75" hidden="false" customHeight="true" outlineLevel="0" collapsed="false">
      <c r="A26" s="10" t="s">
        <v>137</v>
      </c>
      <c r="B26" s="11" t="s">
        <v>138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27.75" hidden="false" customHeight="true" outlineLevel="0" collapsed="false">
      <c r="A27" s="10" t="s">
        <v>139</v>
      </c>
      <c r="B27" s="11" t="s">
        <v>140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27.75" hidden="false" customHeight="true" outlineLevel="0" collapsed="false">
      <c r="A28" s="10" t="s">
        <v>141</v>
      </c>
      <c r="B28" s="11" t="s">
        <v>142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27.75" hidden="false" customHeight="true" outlineLevel="0" collapsed="false">
      <c r="A29" s="10" t="s">
        <v>143</v>
      </c>
      <c r="B29" s="11" t="s">
        <v>144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27.75" hidden="false" customHeight="true" outlineLevel="0" collapsed="false">
      <c r="A30" s="10" t="s">
        <v>145</v>
      </c>
      <c r="B30" s="11" t="s">
        <v>146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27.75" hidden="false" customHeight="true" outlineLevel="0" collapsed="false">
      <c r="A31" s="10" t="s">
        <v>147</v>
      </c>
      <c r="B31" s="11" t="s">
        <v>148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27.75" hidden="false" customHeight="true" outlineLevel="0" collapsed="false">
      <c r="A32" s="10" t="s">
        <v>149</v>
      </c>
      <c r="B32" s="11" t="s">
        <v>150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27.75" hidden="false" customHeight="true" outlineLevel="0" collapsed="false">
      <c r="A33" s="10" t="s">
        <v>151</v>
      </c>
      <c r="B33" s="11" t="s">
        <v>152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27.75" hidden="false" customHeight="true" outlineLevel="0" collapsed="false">
      <c r="A34" s="10" t="s">
        <v>153</v>
      </c>
      <c r="B34" s="11" t="s">
        <v>154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27.75" hidden="false" customHeight="true" outlineLevel="0" collapsed="false">
      <c r="A35" s="10" t="s">
        <v>155</v>
      </c>
      <c r="B35" s="11" t="s">
        <v>156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27.75" hidden="false" customHeight="true" outlineLevel="0" collapsed="false">
      <c r="A36" s="10" t="s">
        <v>157</v>
      </c>
      <c r="B36" s="11" t="s">
        <v>158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27.75" hidden="false" customHeight="true" outlineLevel="0" collapsed="false">
      <c r="A37" s="10" t="s">
        <v>159</v>
      </c>
      <c r="B37" s="11" t="s">
        <v>160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27.75" hidden="false" customHeight="true" outlineLevel="0" collapsed="false">
      <c r="A38" s="10" t="s">
        <v>161</v>
      </c>
      <c r="B38" s="11" t="s">
        <v>162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27.75" hidden="false" customHeight="true" outlineLevel="0" collapsed="false">
      <c r="A39" s="10" t="s">
        <v>163</v>
      </c>
      <c r="B39" s="11" t="s">
        <v>164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27.75" hidden="false" customHeight="true" outlineLevel="0" collapsed="false">
      <c r="A40" s="10" t="s">
        <v>165</v>
      </c>
      <c r="B40" s="11" t="s">
        <v>166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27.75" hidden="false" customHeight="true" outlineLevel="0" collapsed="false">
      <c r="A41" s="10" t="s">
        <v>167</v>
      </c>
      <c r="B41" s="11" t="s">
        <v>168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customFormat="false" ht="27.75" hidden="false" customHeight="true" outlineLevel="0" collapsed="false">
      <c r="A42" s="10" t="s">
        <v>169</v>
      </c>
      <c r="B42" s="11" t="s">
        <v>170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27.75" hidden="false" customHeight="true" outlineLevel="0" collapsed="false">
      <c r="A43" s="10" t="s">
        <v>171</v>
      </c>
      <c r="B43" s="11" t="s">
        <v>172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customFormat="false" ht="27.75" hidden="false" customHeight="true" outlineLevel="0" collapsed="false">
      <c r="A44" s="10" t="s">
        <v>173</v>
      </c>
      <c r="B44" s="11" t="s">
        <v>174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27.75" hidden="false" customHeight="true" outlineLevel="0" collapsed="false">
      <c r="A45" s="10" t="s">
        <v>175</v>
      </c>
      <c r="B45" s="11" t="s">
        <v>176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customFormat="false" ht="27.75" hidden="false" customHeight="true" outlineLevel="0" collapsed="false">
      <c r="A46" s="10" t="s">
        <v>177</v>
      </c>
      <c r="B46" s="11" t="s">
        <v>178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</sheetData>
  <mergeCells count="31">
    <mergeCell ref="A1:M1"/>
    <mergeCell ref="A2:M2"/>
    <mergeCell ref="A4:M4"/>
    <mergeCell ref="A8:M8"/>
    <mergeCell ref="A12:M12"/>
    <mergeCell ref="A16:M16"/>
    <mergeCell ref="A22:M22"/>
    <mergeCell ref="B23:M23"/>
    <mergeCell ref="B24:M24"/>
    <mergeCell ref="B25:M25"/>
    <mergeCell ref="B26:M26"/>
    <mergeCell ref="B27:M27"/>
    <mergeCell ref="B28:M28"/>
    <mergeCell ref="B29:M29"/>
    <mergeCell ref="B30:M30"/>
    <mergeCell ref="B31:M31"/>
    <mergeCell ref="B32:M32"/>
    <mergeCell ref="B33:M33"/>
    <mergeCell ref="B34:M34"/>
    <mergeCell ref="B35:M35"/>
    <mergeCell ref="B36:M36"/>
    <mergeCell ref="B37:M37"/>
    <mergeCell ref="B38:M38"/>
    <mergeCell ref="B39:M39"/>
    <mergeCell ref="B40:M40"/>
    <mergeCell ref="B41:M41"/>
    <mergeCell ref="B42:M42"/>
    <mergeCell ref="B43:M43"/>
    <mergeCell ref="B44:M44"/>
    <mergeCell ref="B45:M45"/>
    <mergeCell ref="B46:M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182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183</v>
      </c>
      <c r="B5" s="6" t="s">
        <v>100</v>
      </c>
      <c r="C5" s="8" t="s">
        <v>114</v>
      </c>
      <c r="D5" s="13" t="s">
        <v>114</v>
      </c>
      <c r="E5" s="13" t="s">
        <v>114</v>
      </c>
      <c r="F5" s="13" t="s">
        <v>184</v>
      </c>
      <c r="G5" s="13" t="s">
        <v>114</v>
      </c>
      <c r="H5" s="13" t="s">
        <v>114</v>
      </c>
      <c r="I5" s="13" t="s">
        <v>114</v>
      </c>
      <c r="J5" s="13" t="s">
        <v>114</v>
      </c>
      <c r="K5" s="13" t="s">
        <v>114</v>
      </c>
      <c r="L5" s="13" t="s">
        <v>114</v>
      </c>
      <c r="M5" s="13" t="s">
        <v>114</v>
      </c>
      <c r="N5" s="13" t="s">
        <v>114</v>
      </c>
      <c r="O5" s="13" t="s">
        <v>114</v>
      </c>
      <c r="P5" s="13" t="s">
        <v>12</v>
      </c>
      <c r="Q5" s="13" t="s">
        <v>114</v>
      </c>
      <c r="R5" s="13" t="s">
        <v>114</v>
      </c>
    </row>
    <row r="6" customFormat="false" ht="15" hidden="false" customHeight="false" outlineLevel="0" collapsed="false">
      <c r="A6" s="14" t="s">
        <v>183</v>
      </c>
      <c r="B6" s="14" t="s">
        <v>185</v>
      </c>
      <c r="C6" s="8" t="s">
        <v>114</v>
      </c>
      <c r="D6" s="15" t="s">
        <v>114</v>
      </c>
      <c r="E6" s="15" t="s">
        <v>12</v>
      </c>
      <c r="F6" s="15" t="s">
        <v>184</v>
      </c>
      <c r="G6" s="15" t="s">
        <v>114</v>
      </c>
      <c r="H6" s="15" t="s">
        <v>12</v>
      </c>
      <c r="I6" s="15" t="s">
        <v>12</v>
      </c>
      <c r="J6" s="15" t="s">
        <v>114</v>
      </c>
      <c r="K6" s="15" t="s">
        <v>114</v>
      </c>
      <c r="L6" s="15" t="s">
        <v>114</v>
      </c>
      <c r="M6" s="15" t="s">
        <v>114</v>
      </c>
      <c r="N6" s="15" t="s">
        <v>114</v>
      </c>
      <c r="O6" s="15" t="s">
        <v>114</v>
      </c>
      <c r="P6" s="15" t="s">
        <v>12</v>
      </c>
      <c r="Q6" s="15" t="s">
        <v>114</v>
      </c>
      <c r="R6" s="15" t="s">
        <v>114</v>
      </c>
    </row>
    <row r="7" customFormat="false" ht="15" hidden="false" customHeight="false" outlineLevel="0" collapsed="false">
      <c r="A7" s="6" t="s">
        <v>183</v>
      </c>
      <c r="B7" s="6" t="s">
        <v>186</v>
      </c>
      <c r="C7" s="8" t="s">
        <v>114</v>
      </c>
      <c r="D7" s="13" t="s">
        <v>114</v>
      </c>
      <c r="E7" s="13" t="s">
        <v>12</v>
      </c>
      <c r="F7" s="13" t="s">
        <v>184</v>
      </c>
      <c r="G7" s="13" t="s">
        <v>114</v>
      </c>
      <c r="H7" s="13" t="s">
        <v>12</v>
      </c>
      <c r="I7" s="13" t="s">
        <v>12</v>
      </c>
      <c r="J7" s="13" t="s">
        <v>12</v>
      </c>
      <c r="K7" s="13" t="s">
        <v>114</v>
      </c>
      <c r="L7" s="13" t="s">
        <v>114</v>
      </c>
      <c r="M7" s="13" t="s">
        <v>184</v>
      </c>
      <c r="N7" s="13" t="s">
        <v>184</v>
      </c>
      <c r="O7" s="13" t="s">
        <v>12</v>
      </c>
      <c r="P7" s="13" t="s">
        <v>114</v>
      </c>
      <c r="Q7" s="13" t="s">
        <v>114</v>
      </c>
      <c r="R7" s="13" t="s">
        <v>114</v>
      </c>
    </row>
    <row r="8" customFormat="false" ht="15" hidden="false" customHeight="false" outlineLevel="0" collapsed="false">
      <c r="A8" s="14" t="s">
        <v>183</v>
      </c>
      <c r="B8" s="14" t="s">
        <v>106</v>
      </c>
      <c r="C8" s="8" t="s">
        <v>114</v>
      </c>
      <c r="D8" s="15" t="s">
        <v>114</v>
      </c>
      <c r="E8" s="15" t="s">
        <v>12</v>
      </c>
      <c r="F8" s="15" t="s">
        <v>184</v>
      </c>
      <c r="G8" s="15" t="s">
        <v>114</v>
      </c>
      <c r="H8" s="15" t="s">
        <v>12</v>
      </c>
      <c r="I8" s="15" t="s">
        <v>12</v>
      </c>
      <c r="J8" s="15" t="s">
        <v>12</v>
      </c>
      <c r="K8" s="15" t="s">
        <v>114</v>
      </c>
      <c r="L8" s="15" t="s">
        <v>114</v>
      </c>
      <c r="M8" s="15" t="s">
        <v>184</v>
      </c>
      <c r="N8" s="15" t="s">
        <v>184</v>
      </c>
      <c r="O8" s="15" t="s">
        <v>12</v>
      </c>
      <c r="P8" s="15" t="s">
        <v>12</v>
      </c>
      <c r="Q8" s="15" t="s">
        <v>114</v>
      </c>
      <c r="R8" s="15" t="s">
        <v>114</v>
      </c>
    </row>
    <row r="9" customFormat="false" ht="15" hidden="false" customHeight="false" outlineLevel="0" collapsed="false">
      <c r="A9" s="6" t="s">
        <v>183</v>
      </c>
      <c r="B9" s="6" t="s">
        <v>102</v>
      </c>
      <c r="C9" s="8" t="s">
        <v>114</v>
      </c>
      <c r="D9" s="13" t="s">
        <v>114</v>
      </c>
      <c r="E9" s="13" t="s">
        <v>12</v>
      </c>
      <c r="F9" s="13" t="s">
        <v>184</v>
      </c>
      <c r="G9" s="13" t="s">
        <v>114</v>
      </c>
      <c r="H9" s="13" t="s">
        <v>12</v>
      </c>
      <c r="I9" s="13" t="s">
        <v>12</v>
      </c>
      <c r="J9" s="13" t="s">
        <v>114</v>
      </c>
      <c r="K9" s="13" t="s">
        <v>114</v>
      </c>
      <c r="L9" s="13" t="s">
        <v>114</v>
      </c>
      <c r="M9" s="13" t="s">
        <v>114</v>
      </c>
      <c r="N9" s="13" t="s">
        <v>114</v>
      </c>
      <c r="O9" s="13" t="s">
        <v>12</v>
      </c>
      <c r="P9" s="13" t="s">
        <v>12</v>
      </c>
      <c r="Q9" s="13" t="s">
        <v>114</v>
      </c>
      <c r="R9" s="13" t="s">
        <v>12</v>
      </c>
    </row>
    <row r="10" customFormat="false" ht="15" hidden="false" customHeight="false" outlineLevel="0" collapsed="false">
      <c r="A10" s="14" t="s">
        <v>183</v>
      </c>
      <c r="B10" s="14" t="s">
        <v>103</v>
      </c>
      <c r="C10" s="8" t="s">
        <v>114</v>
      </c>
      <c r="D10" s="15" t="s">
        <v>114</v>
      </c>
      <c r="E10" s="15" t="s">
        <v>12</v>
      </c>
      <c r="F10" s="15" t="s">
        <v>184</v>
      </c>
      <c r="G10" s="15" t="s">
        <v>114</v>
      </c>
      <c r="H10" s="15" t="s">
        <v>12</v>
      </c>
      <c r="I10" s="15" t="s">
        <v>12</v>
      </c>
      <c r="J10" s="15" t="s">
        <v>12</v>
      </c>
      <c r="K10" s="15" t="s">
        <v>114</v>
      </c>
      <c r="L10" s="15" t="s">
        <v>114</v>
      </c>
      <c r="M10" s="15" t="s">
        <v>114</v>
      </c>
      <c r="N10" s="15" t="s">
        <v>114</v>
      </c>
      <c r="O10" s="15" t="s">
        <v>12</v>
      </c>
      <c r="P10" s="15" t="s">
        <v>12</v>
      </c>
      <c r="Q10" s="15" t="s">
        <v>114</v>
      </c>
      <c r="R10" s="15" t="s">
        <v>12</v>
      </c>
    </row>
    <row r="11" customFormat="false" ht="15" hidden="false" customHeight="false" outlineLevel="0" collapsed="false">
      <c r="A11" s="6" t="s">
        <v>183</v>
      </c>
      <c r="B11" s="6" t="s">
        <v>187</v>
      </c>
      <c r="C11" s="8" t="s">
        <v>114</v>
      </c>
      <c r="D11" s="13" t="s">
        <v>114</v>
      </c>
      <c r="E11" s="13" t="s">
        <v>12</v>
      </c>
      <c r="F11" s="13" t="s">
        <v>12</v>
      </c>
      <c r="G11" s="13" t="s">
        <v>114</v>
      </c>
      <c r="H11" s="13" t="s">
        <v>12</v>
      </c>
      <c r="I11" s="13" t="s">
        <v>12</v>
      </c>
      <c r="J11" s="13" t="s">
        <v>12</v>
      </c>
      <c r="K11" s="13" t="s">
        <v>114</v>
      </c>
      <c r="L11" s="13" t="s">
        <v>114</v>
      </c>
      <c r="M11" s="13" t="s">
        <v>184</v>
      </c>
      <c r="N11" s="13" t="s">
        <v>184</v>
      </c>
      <c r="O11" s="13" t="s">
        <v>12</v>
      </c>
      <c r="P11" s="13" t="s">
        <v>12</v>
      </c>
      <c r="Q11" s="13" t="s">
        <v>114</v>
      </c>
      <c r="R11" s="13" t="s">
        <v>12</v>
      </c>
    </row>
    <row r="12" customFormat="false" ht="15" hidden="false" customHeight="false" outlineLevel="0" collapsed="false">
      <c r="A12" s="14" t="s">
        <v>183</v>
      </c>
      <c r="B12" s="14" t="s">
        <v>188</v>
      </c>
      <c r="C12" s="8" t="s">
        <v>114</v>
      </c>
      <c r="D12" s="15" t="s">
        <v>114</v>
      </c>
      <c r="E12" s="15" t="s">
        <v>12</v>
      </c>
      <c r="F12" s="15" t="s">
        <v>12</v>
      </c>
      <c r="G12" s="15" t="s">
        <v>114</v>
      </c>
      <c r="H12" s="15" t="s">
        <v>12</v>
      </c>
      <c r="I12" s="15" t="s">
        <v>12</v>
      </c>
      <c r="J12" s="15" t="s">
        <v>12</v>
      </c>
      <c r="K12" s="15" t="s">
        <v>114</v>
      </c>
      <c r="L12" s="15" t="s">
        <v>114</v>
      </c>
      <c r="M12" s="15" t="s">
        <v>114</v>
      </c>
      <c r="N12" s="15" t="s">
        <v>114</v>
      </c>
      <c r="O12" s="15" t="s">
        <v>12</v>
      </c>
      <c r="P12" s="15" t="s">
        <v>12</v>
      </c>
      <c r="Q12" s="15" t="s">
        <v>114</v>
      </c>
      <c r="R12" s="15" t="s">
        <v>12</v>
      </c>
    </row>
    <row r="13" customFormat="false" ht="15" hidden="false" customHeight="false" outlineLevel="0" collapsed="false">
      <c r="A13" s="6" t="s">
        <v>183</v>
      </c>
      <c r="B13" s="6" t="s">
        <v>189</v>
      </c>
      <c r="C13" s="8" t="s">
        <v>190</v>
      </c>
      <c r="D13" s="13" t="s">
        <v>191</v>
      </c>
      <c r="E13" s="13" t="s">
        <v>192</v>
      </c>
      <c r="F13" s="13" t="s">
        <v>193</v>
      </c>
      <c r="G13" s="13" t="s">
        <v>194</v>
      </c>
      <c r="H13" s="13" t="s">
        <v>192</v>
      </c>
      <c r="I13" s="13" t="s">
        <v>192</v>
      </c>
      <c r="J13" s="13" t="s">
        <v>195</v>
      </c>
      <c r="K13" s="13" t="s">
        <v>191</v>
      </c>
      <c r="L13" s="13" t="s">
        <v>191</v>
      </c>
      <c r="M13" s="13" t="s">
        <v>196</v>
      </c>
      <c r="N13" s="13" t="s">
        <v>196</v>
      </c>
      <c r="O13" s="13" t="s">
        <v>197</v>
      </c>
      <c r="P13" s="13" t="s">
        <v>198</v>
      </c>
      <c r="Q13" s="13" t="s">
        <v>194</v>
      </c>
      <c r="R13" s="13" t="s">
        <v>199</v>
      </c>
    </row>
    <row r="15" customFormat="false" ht="15" hidden="false" customHeight="false" outlineLevel="0" collapsed="false">
      <c r="A15" s="16"/>
      <c r="B15" s="17" t="s">
        <v>200</v>
      </c>
      <c r="C15" s="18" t="n">
        <f aca="false">COUNTIF(C4:C14,"●")</f>
        <v>8</v>
      </c>
      <c r="D15" s="18" t="n">
        <f aca="false">COUNTIF(D4:D14,"●")</f>
        <v>8</v>
      </c>
      <c r="E15" s="18" t="n">
        <f aca="false">COUNTIF(E4:E14,"●")</f>
        <v>1</v>
      </c>
      <c r="F15" s="18" t="n">
        <f aca="false">COUNTIF(F4:F14,"●")</f>
        <v>0</v>
      </c>
      <c r="G15" s="18" t="n">
        <f aca="false">COUNTIF(G4:G14,"●")</f>
        <v>8</v>
      </c>
      <c r="H15" s="18" t="n">
        <f aca="false">COUNTIF(H4:H14,"●")</f>
        <v>1</v>
      </c>
      <c r="I15" s="18" t="n">
        <f aca="false">COUNTIF(I4:I14,"●")</f>
        <v>1</v>
      </c>
      <c r="J15" s="18" t="n">
        <f aca="false">COUNTIF(J4:J14,"●")</f>
        <v>3</v>
      </c>
      <c r="K15" s="18" t="n">
        <f aca="false">COUNTIF(K4:K14,"●")</f>
        <v>8</v>
      </c>
      <c r="L15" s="18" t="n">
        <f aca="false">COUNTIF(L4:L14,"●")</f>
        <v>8</v>
      </c>
      <c r="M15" s="18" t="n">
        <f aca="false">COUNTIF(M4:M14,"●")</f>
        <v>5</v>
      </c>
      <c r="N15" s="18" t="n">
        <f aca="false">COUNTIF(N4:N14,"●")</f>
        <v>5</v>
      </c>
      <c r="O15" s="18" t="n">
        <f aca="false">COUNTIF(O4:O14,"●")</f>
        <v>2</v>
      </c>
      <c r="P15" s="18" t="n">
        <f aca="false">COUNTIF(P4:P14,"●")</f>
        <v>1</v>
      </c>
      <c r="Q15" s="18" t="n">
        <f aca="false">COUNTIF(Q4:Q14,"●")</f>
        <v>8</v>
      </c>
      <c r="R15" s="18" t="n">
        <f aca="false">COUNTIF(R4:R14,"●")</f>
        <v>4</v>
      </c>
    </row>
  </sheetData>
  <mergeCells count="3">
    <mergeCell ref="A1:R1"/>
    <mergeCell ref="A2:R2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203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204</v>
      </c>
      <c r="B5" s="6" t="s">
        <v>205</v>
      </c>
      <c r="C5" s="8" t="s">
        <v>114</v>
      </c>
      <c r="D5" s="13" t="s">
        <v>114</v>
      </c>
      <c r="E5" s="13" t="s">
        <v>114</v>
      </c>
      <c r="F5" s="13" t="s">
        <v>184</v>
      </c>
      <c r="G5" s="13" t="s">
        <v>12</v>
      </c>
      <c r="H5" s="13" t="s">
        <v>12</v>
      </c>
      <c r="I5" s="13" t="s">
        <v>114</v>
      </c>
      <c r="J5" s="13" t="s">
        <v>114</v>
      </c>
      <c r="K5" s="13" t="s">
        <v>114</v>
      </c>
      <c r="L5" s="13" t="s">
        <v>114</v>
      </c>
      <c r="M5" s="13" t="s">
        <v>114</v>
      </c>
      <c r="N5" s="13" t="s">
        <v>114</v>
      </c>
      <c r="O5" s="13" t="s">
        <v>114</v>
      </c>
      <c r="P5" s="13" t="s">
        <v>114</v>
      </c>
      <c r="Q5" s="13" t="s">
        <v>12</v>
      </c>
      <c r="R5" s="13" t="s">
        <v>12</v>
      </c>
    </row>
    <row r="6" customFormat="false" ht="15" hidden="false" customHeight="false" outlineLevel="0" collapsed="false">
      <c r="A6" s="14" t="s">
        <v>204</v>
      </c>
      <c r="B6" s="14" t="s">
        <v>206</v>
      </c>
      <c r="C6" s="8" t="s">
        <v>114</v>
      </c>
      <c r="D6" s="15" t="s">
        <v>114</v>
      </c>
      <c r="E6" s="15" t="s">
        <v>114</v>
      </c>
      <c r="F6" s="15" t="s">
        <v>184</v>
      </c>
      <c r="G6" s="15" t="s">
        <v>12</v>
      </c>
      <c r="H6" s="15" t="s">
        <v>114</v>
      </c>
      <c r="I6" s="15" t="s">
        <v>114</v>
      </c>
      <c r="J6" s="15" t="s">
        <v>114</v>
      </c>
      <c r="K6" s="15" t="s">
        <v>114</v>
      </c>
      <c r="L6" s="15" t="s">
        <v>114</v>
      </c>
      <c r="M6" s="15" t="s">
        <v>184</v>
      </c>
      <c r="N6" s="15" t="s">
        <v>184</v>
      </c>
      <c r="O6" s="15" t="s">
        <v>114</v>
      </c>
      <c r="P6" s="15" t="s">
        <v>114</v>
      </c>
      <c r="Q6" s="15" t="s">
        <v>12</v>
      </c>
      <c r="R6" s="15" t="s">
        <v>12</v>
      </c>
    </row>
    <row r="7" customFormat="false" ht="15" hidden="false" customHeight="false" outlineLevel="0" collapsed="false">
      <c r="A7" s="6" t="s">
        <v>204</v>
      </c>
      <c r="B7" s="6" t="s">
        <v>207</v>
      </c>
      <c r="C7" s="8" t="s">
        <v>114</v>
      </c>
      <c r="D7" s="13" t="s">
        <v>114</v>
      </c>
      <c r="E7" s="13" t="s">
        <v>114</v>
      </c>
      <c r="F7" s="13" t="s">
        <v>12</v>
      </c>
      <c r="G7" s="13" t="s">
        <v>12</v>
      </c>
      <c r="H7" s="13" t="s">
        <v>114</v>
      </c>
      <c r="I7" s="13" t="s">
        <v>184</v>
      </c>
      <c r="J7" s="13" t="s">
        <v>114</v>
      </c>
      <c r="K7" s="13" t="s">
        <v>184</v>
      </c>
      <c r="L7" s="13" t="s">
        <v>114</v>
      </c>
      <c r="M7" s="13" t="s">
        <v>184</v>
      </c>
      <c r="N7" s="13" t="s">
        <v>184</v>
      </c>
      <c r="O7" s="13" t="s">
        <v>114</v>
      </c>
      <c r="P7" s="13" t="s">
        <v>114</v>
      </c>
      <c r="Q7" s="13" t="s">
        <v>12</v>
      </c>
      <c r="R7" s="13" t="s">
        <v>12</v>
      </c>
    </row>
    <row r="8" customFormat="false" ht="15" hidden="false" customHeight="false" outlineLevel="0" collapsed="false">
      <c r="A8" s="14" t="s">
        <v>204</v>
      </c>
      <c r="B8" s="14" t="s">
        <v>208</v>
      </c>
      <c r="C8" s="8" t="s">
        <v>114</v>
      </c>
      <c r="D8" s="15" t="s">
        <v>114</v>
      </c>
      <c r="E8" s="15" t="s">
        <v>114</v>
      </c>
      <c r="F8" s="15" t="s">
        <v>12</v>
      </c>
      <c r="G8" s="15" t="s">
        <v>114</v>
      </c>
      <c r="H8" s="15" t="s">
        <v>12</v>
      </c>
      <c r="I8" s="15" t="s">
        <v>184</v>
      </c>
      <c r="J8" s="15" t="s">
        <v>184</v>
      </c>
      <c r="K8" s="15" t="s">
        <v>184</v>
      </c>
      <c r="L8" s="15" t="s">
        <v>184</v>
      </c>
      <c r="M8" s="15" t="s">
        <v>12</v>
      </c>
      <c r="N8" s="15" t="s">
        <v>12</v>
      </c>
      <c r="O8" s="15" t="s">
        <v>12</v>
      </c>
      <c r="P8" s="15" t="s">
        <v>114</v>
      </c>
      <c r="Q8" s="15" t="s">
        <v>114</v>
      </c>
      <c r="R8" s="15" t="s">
        <v>12</v>
      </c>
    </row>
    <row r="9" customFormat="false" ht="15" hidden="false" customHeight="false" outlineLevel="0" collapsed="false">
      <c r="A9" s="6" t="s">
        <v>204</v>
      </c>
      <c r="B9" s="6" t="s">
        <v>209</v>
      </c>
      <c r="C9" s="8" t="s">
        <v>114</v>
      </c>
      <c r="D9" s="13" t="s">
        <v>114</v>
      </c>
      <c r="E9" s="13" t="s">
        <v>114</v>
      </c>
      <c r="F9" s="13" t="s">
        <v>12</v>
      </c>
      <c r="G9" s="13" t="s">
        <v>12</v>
      </c>
      <c r="H9" s="13" t="s">
        <v>12</v>
      </c>
      <c r="I9" s="13" t="s">
        <v>184</v>
      </c>
      <c r="J9" s="13" t="s">
        <v>114</v>
      </c>
      <c r="K9" s="13" t="s">
        <v>114</v>
      </c>
      <c r="L9" s="13" t="s">
        <v>114</v>
      </c>
      <c r="M9" s="13" t="s">
        <v>114</v>
      </c>
      <c r="N9" s="13" t="s">
        <v>114</v>
      </c>
      <c r="O9" s="13" t="s">
        <v>114</v>
      </c>
      <c r="P9" s="13" t="s">
        <v>114</v>
      </c>
      <c r="Q9" s="13" t="s">
        <v>12</v>
      </c>
      <c r="R9" s="13" t="s">
        <v>12</v>
      </c>
    </row>
    <row r="10" customFormat="false" ht="15" hidden="false" customHeight="false" outlineLevel="0" collapsed="false">
      <c r="A10" s="14" t="s">
        <v>204</v>
      </c>
      <c r="B10" s="14" t="s">
        <v>210</v>
      </c>
      <c r="C10" s="8" t="s">
        <v>114</v>
      </c>
      <c r="D10" s="15" t="s">
        <v>114</v>
      </c>
      <c r="E10" s="15" t="s">
        <v>114</v>
      </c>
      <c r="F10" s="15" t="s">
        <v>12</v>
      </c>
      <c r="G10" s="15" t="s">
        <v>12</v>
      </c>
      <c r="H10" s="15" t="s">
        <v>12</v>
      </c>
      <c r="I10" s="15" t="s">
        <v>184</v>
      </c>
      <c r="J10" s="15" t="s">
        <v>114</v>
      </c>
      <c r="K10" s="15" t="s">
        <v>184</v>
      </c>
      <c r="L10" s="15" t="s">
        <v>184</v>
      </c>
      <c r="M10" s="15" t="s">
        <v>114</v>
      </c>
      <c r="N10" s="15" t="s">
        <v>184</v>
      </c>
      <c r="O10" s="15" t="s">
        <v>114</v>
      </c>
      <c r="P10" s="15" t="s">
        <v>114</v>
      </c>
      <c r="Q10" s="15" t="s">
        <v>12</v>
      </c>
      <c r="R10" s="15" t="s">
        <v>12</v>
      </c>
    </row>
    <row r="11" customFormat="false" ht="19.5" hidden="false" customHeight="true" outlineLevel="0" collapsed="false">
      <c r="A11" s="7" t="s">
        <v>211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customFormat="false" ht="15" hidden="false" customHeight="false" outlineLevel="0" collapsed="false">
      <c r="A12" s="14" t="s">
        <v>212</v>
      </c>
      <c r="B12" s="14" t="s">
        <v>213</v>
      </c>
      <c r="C12" s="8" t="s">
        <v>114</v>
      </c>
      <c r="D12" s="15" t="s">
        <v>184</v>
      </c>
      <c r="E12" s="15" t="s">
        <v>114</v>
      </c>
      <c r="F12" s="15" t="s">
        <v>12</v>
      </c>
      <c r="G12" s="15" t="s">
        <v>12</v>
      </c>
      <c r="H12" s="15" t="s">
        <v>184</v>
      </c>
      <c r="I12" s="15" t="s">
        <v>114</v>
      </c>
      <c r="J12" s="15" t="s">
        <v>184</v>
      </c>
      <c r="K12" s="15" t="s">
        <v>12</v>
      </c>
      <c r="L12" s="15" t="s">
        <v>184</v>
      </c>
      <c r="M12" s="15" t="s">
        <v>12</v>
      </c>
      <c r="N12" s="15" t="s">
        <v>12</v>
      </c>
      <c r="O12" s="15" t="s">
        <v>184</v>
      </c>
      <c r="P12" s="15" t="s">
        <v>114</v>
      </c>
      <c r="Q12" s="15" t="s">
        <v>12</v>
      </c>
      <c r="R12" s="15" t="s">
        <v>12</v>
      </c>
    </row>
    <row r="13" customFormat="false" ht="15" hidden="false" customHeight="false" outlineLevel="0" collapsed="false">
      <c r="A13" s="6" t="s">
        <v>212</v>
      </c>
      <c r="B13" s="6" t="s">
        <v>214</v>
      </c>
      <c r="C13" s="8" t="s">
        <v>114</v>
      </c>
      <c r="D13" s="13" t="s">
        <v>184</v>
      </c>
      <c r="E13" s="13" t="s">
        <v>114</v>
      </c>
      <c r="F13" s="13" t="s">
        <v>12</v>
      </c>
      <c r="G13" s="13" t="s">
        <v>12</v>
      </c>
      <c r="H13" s="13" t="s">
        <v>184</v>
      </c>
      <c r="I13" s="13" t="s">
        <v>114</v>
      </c>
      <c r="J13" s="13" t="s">
        <v>184</v>
      </c>
      <c r="K13" s="13" t="s">
        <v>12</v>
      </c>
      <c r="L13" s="13" t="s">
        <v>12</v>
      </c>
      <c r="M13" s="13" t="s">
        <v>12</v>
      </c>
      <c r="N13" s="13" t="s">
        <v>12</v>
      </c>
      <c r="O13" s="13" t="s">
        <v>184</v>
      </c>
      <c r="P13" s="13" t="s">
        <v>12</v>
      </c>
      <c r="Q13" s="13" t="s">
        <v>12</v>
      </c>
      <c r="R13" s="13" t="s">
        <v>12</v>
      </c>
    </row>
    <row r="14" customFormat="false" ht="15" hidden="false" customHeight="false" outlineLevel="0" collapsed="false">
      <c r="A14" s="14" t="s">
        <v>212</v>
      </c>
      <c r="B14" s="14" t="s">
        <v>215</v>
      </c>
      <c r="C14" s="8" t="s">
        <v>114</v>
      </c>
      <c r="D14" s="15" t="s">
        <v>12</v>
      </c>
      <c r="E14" s="15" t="s">
        <v>12</v>
      </c>
      <c r="F14" s="15" t="s">
        <v>12</v>
      </c>
      <c r="G14" s="15" t="s">
        <v>114</v>
      </c>
      <c r="H14" s="15" t="s">
        <v>12</v>
      </c>
      <c r="I14" s="15" t="s">
        <v>12</v>
      </c>
      <c r="J14" s="15" t="s">
        <v>12</v>
      </c>
      <c r="K14" s="15" t="s">
        <v>12</v>
      </c>
      <c r="L14" s="15" t="s">
        <v>12</v>
      </c>
      <c r="M14" s="15" t="s">
        <v>12</v>
      </c>
      <c r="N14" s="15" t="s">
        <v>12</v>
      </c>
      <c r="O14" s="15" t="s">
        <v>12</v>
      </c>
      <c r="P14" s="15" t="s">
        <v>12</v>
      </c>
      <c r="Q14" s="15" t="s">
        <v>114</v>
      </c>
      <c r="R14" s="15" t="s">
        <v>114</v>
      </c>
    </row>
    <row r="15" customFormat="false" ht="15" hidden="false" customHeight="false" outlineLevel="0" collapsed="false">
      <c r="A15" s="6" t="s">
        <v>212</v>
      </c>
      <c r="B15" s="6" t="s">
        <v>216</v>
      </c>
      <c r="C15" s="8" t="s">
        <v>114</v>
      </c>
      <c r="D15" s="13" t="s">
        <v>184</v>
      </c>
      <c r="E15" s="13" t="s">
        <v>184</v>
      </c>
      <c r="F15" s="13" t="s">
        <v>12</v>
      </c>
      <c r="G15" s="13" t="s">
        <v>184</v>
      </c>
      <c r="H15" s="13" t="s">
        <v>12</v>
      </c>
      <c r="I15" s="13" t="s">
        <v>12</v>
      </c>
      <c r="J15" s="13" t="s">
        <v>12</v>
      </c>
      <c r="K15" s="13" t="s">
        <v>184</v>
      </c>
      <c r="L15" s="13" t="s">
        <v>114</v>
      </c>
      <c r="M15" s="13" t="s">
        <v>184</v>
      </c>
      <c r="N15" s="13" t="s">
        <v>184</v>
      </c>
      <c r="O15" s="13" t="s">
        <v>12</v>
      </c>
      <c r="P15" s="13" t="s">
        <v>12</v>
      </c>
      <c r="Q15" s="13" t="s">
        <v>184</v>
      </c>
      <c r="R15" s="13" t="s">
        <v>12</v>
      </c>
    </row>
    <row r="16" customFormat="false" ht="15" hidden="false" customHeight="false" outlineLevel="0" collapsed="false">
      <c r="A16" s="14" t="s">
        <v>212</v>
      </c>
      <c r="B16" s="14" t="s">
        <v>217</v>
      </c>
      <c r="C16" s="8" t="s">
        <v>114</v>
      </c>
      <c r="D16" s="15" t="s">
        <v>114</v>
      </c>
      <c r="E16" s="15" t="s">
        <v>184</v>
      </c>
      <c r="F16" s="15" t="s">
        <v>184</v>
      </c>
      <c r="G16" s="15" t="s">
        <v>12</v>
      </c>
      <c r="H16" s="15" t="s">
        <v>12</v>
      </c>
      <c r="I16" s="15" t="s">
        <v>12</v>
      </c>
      <c r="J16" s="15" t="s">
        <v>184</v>
      </c>
      <c r="K16" s="15" t="s">
        <v>114</v>
      </c>
      <c r="L16" s="15" t="s">
        <v>114</v>
      </c>
      <c r="M16" s="15" t="s">
        <v>184</v>
      </c>
      <c r="N16" s="15" t="s">
        <v>184</v>
      </c>
      <c r="O16" s="15" t="s">
        <v>184</v>
      </c>
      <c r="P16" s="15" t="s">
        <v>114</v>
      </c>
      <c r="Q16" s="15" t="s">
        <v>12</v>
      </c>
      <c r="R16" s="15" t="s">
        <v>12</v>
      </c>
    </row>
    <row r="17" customFormat="false" ht="19.5" hidden="false" customHeight="true" outlineLevel="0" collapsed="false">
      <c r="A17" s="7" t="s">
        <v>218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customFormat="false" ht="15" hidden="false" customHeight="false" outlineLevel="0" collapsed="false">
      <c r="A18" s="14" t="s">
        <v>219</v>
      </c>
      <c r="B18" s="14" t="s">
        <v>220</v>
      </c>
      <c r="C18" s="8" t="s">
        <v>114</v>
      </c>
      <c r="D18" s="15" t="s">
        <v>12</v>
      </c>
      <c r="E18" s="15" t="s">
        <v>12</v>
      </c>
      <c r="F18" s="15" t="s">
        <v>12</v>
      </c>
      <c r="G18" s="15" t="s">
        <v>114</v>
      </c>
      <c r="H18" s="15" t="s">
        <v>12</v>
      </c>
      <c r="I18" s="15" t="s">
        <v>184</v>
      </c>
      <c r="J18" s="15" t="s">
        <v>12</v>
      </c>
      <c r="K18" s="15" t="s">
        <v>12</v>
      </c>
      <c r="L18" s="15" t="s">
        <v>12</v>
      </c>
      <c r="M18" s="15" t="s">
        <v>12</v>
      </c>
      <c r="N18" s="15" t="s">
        <v>12</v>
      </c>
      <c r="O18" s="15" t="s">
        <v>12</v>
      </c>
      <c r="P18" s="15" t="s">
        <v>12</v>
      </c>
      <c r="Q18" s="15" t="s">
        <v>114</v>
      </c>
      <c r="R18" s="15" t="s">
        <v>114</v>
      </c>
    </row>
    <row r="19" customFormat="false" ht="15" hidden="false" customHeight="false" outlineLevel="0" collapsed="false">
      <c r="A19" s="6" t="s">
        <v>219</v>
      </c>
      <c r="B19" s="6" t="s">
        <v>221</v>
      </c>
      <c r="C19" s="8" t="s">
        <v>114</v>
      </c>
      <c r="D19" s="13" t="s">
        <v>12</v>
      </c>
      <c r="E19" s="13" t="s">
        <v>12</v>
      </c>
      <c r="F19" s="13" t="s">
        <v>12</v>
      </c>
      <c r="G19" s="13" t="s">
        <v>114</v>
      </c>
      <c r="H19" s="13" t="s">
        <v>12</v>
      </c>
      <c r="I19" s="13" t="s">
        <v>12</v>
      </c>
      <c r="J19" s="13" t="s">
        <v>12</v>
      </c>
      <c r="K19" s="13" t="s">
        <v>12</v>
      </c>
      <c r="L19" s="13" t="s">
        <v>12</v>
      </c>
      <c r="M19" s="13" t="s">
        <v>12</v>
      </c>
      <c r="N19" s="13" t="s">
        <v>12</v>
      </c>
      <c r="O19" s="13" t="s">
        <v>12</v>
      </c>
      <c r="P19" s="13" t="s">
        <v>12</v>
      </c>
      <c r="Q19" s="13" t="s">
        <v>114</v>
      </c>
      <c r="R19" s="13" t="s">
        <v>114</v>
      </c>
    </row>
    <row r="20" customFormat="false" ht="15" hidden="false" customHeight="false" outlineLevel="0" collapsed="false">
      <c r="A20" s="14" t="s">
        <v>219</v>
      </c>
      <c r="B20" s="14" t="s">
        <v>222</v>
      </c>
      <c r="C20" s="8" t="s">
        <v>114</v>
      </c>
      <c r="D20" s="15" t="s">
        <v>184</v>
      </c>
      <c r="E20" s="15" t="s">
        <v>114</v>
      </c>
      <c r="F20" s="15" t="s">
        <v>12</v>
      </c>
      <c r="G20" s="15" t="s">
        <v>114</v>
      </c>
      <c r="H20" s="15" t="s">
        <v>12</v>
      </c>
      <c r="I20" s="15" t="s">
        <v>184</v>
      </c>
      <c r="J20" s="15" t="s">
        <v>184</v>
      </c>
      <c r="K20" s="15" t="s">
        <v>12</v>
      </c>
      <c r="L20" s="15" t="s">
        <v>184</v>
      </c>
      <c r="M20" s="15" t="s">
        <v>12</v>
      </c>
      <c r="N20" s="15" t="s">
        <v>12</v>
      </c>
      <c r="O20" s="15" t="s">
        <v>12</v>
      </c>
      <c r="P20" s="15" t="s">
        <v>114</v>
      </c>
      <c r="Q20" s="15" t="s">
        <v>114</v>
      </c>
      <c r="R20" s="15" t="s">
        <v>12</v>
      </c>
    </row>
    <row r="21" customFormat="false" ht="15" hidden="false" customHeight="false" outlineLevel="0" collapsed="false">
      <c r="A21" s="6" t="s">
        <v>219</v>
      </c>
      <c r="B21" s="6" t="s">
        <v>223</v>
      </c>
      <c r="C21" s="8" t="s">
        <v>114</v>
      </c>
      <c r="D21" s="13" t="s">
        <v>12</v>
      </c>
      <c r="E21" s="13" t="s">
        <v>12</v>
      </c>
      <c r="F21" s="13" t="s">
        <v>12</v>
      </c>
      <c r="G21" s="13" t="s">
        <v>114</v>
      </c>
      <c r="H21" s="13" t="s">
        <v>12</v>
      </c>
      <c r="I21" s="13" t="s">
        <v>12</v>
      </c>
      <c r="J21" s="13" t="s">
        <v>12</v>
      </c>
      <c r="K21" s="13" t="s">
        <v>12</v>
      </c>
      <c r="L21" s="13" t="s">
        <v>12</v>
      </c>
      <c r="M21" s="13" t="s">
        <v>12</v>
      </c>
      <c r="N21" s="13" t="s">
        <v>12</v>
      </c>
      <c r="O21" s="13" t="s">
        <v>12</v>
      </c>
      <c r="P21" s="13" t="s">
        <v>12</v>
      </c>
      <c r="Q21" s="13" t="s">
        <v>114</v>
      </c>
      <c r="R21" s="13" t="s">
        <v>114</v>
      </c>
    </row>
    <row r="23" customFormat="false" ht="15" hidden="false" customHeight="false" outlineLevel="0" collapsed="false">
      <c r="A23" s="16"/>
      <c r="B23" s="17" t="s">
        <v>200</v>
      </c>
      <c r="C23" s="18" t="n">
        <f aca="false">COUNTIF(C4:C22,"●")</f>
        <v>15</v>
      </c>
      <c r="D23" s="18" t="n">
        <f aca="false">COUNTIF(D4:D22,"●")</f>
        <v>7</v>
      </c>
      <c r="E23" s="18" t="n">
        <f aca="false">COUNTIF(E4:E22,"●")</f>
        <v>9</v>
      </c>
      <c r="F23" s="18" t="n">
        <f aca="false">COUNTIF(F4:F22,"●")</f>
        <v>0</v>
      </c>
      <c r="G23" s="18" t="n">
        <f aca="false">COUNTIF(G4:G22,"●")</f>
        <v>6</v>
      </c>
      <c r="H23" s="18" t="n">
        <f aca="false">COUNTIF(H4:H22,"●")</f>
        <v>2</v>
      </c>
      <c r="I23" s="18" t="n">
        <f aca="false">COUNTIF(I4:I22,"●")</f>
        <v>4</v>
      </c>
      <c r="J23" s="18" t="n">
        <f aca="false">COUNTIF(J4:J22,"●")</f>
        <v>5</v>
      </c>
      <c r="K23" s="18" t="n">
        <f aca="false">COUNTIF(K4:K22,"●")</f>
        <v>4</v>
      </c>
      <c r="L23" s="18" t="n">
        <f aca="false">COUNTIF(L4:L22,"●")</f>
        <v>6</v>
      </c>
      <c r="M23" s="18" t="n">
        <f aca="false">COUNTIF(M4:M22,"●")</f>
        <v>3</v>
      </c>
      <c r="N23" s="18" t="n">
        <f aca="false">COUNTIF(N4:N22,"●")</f>
        <v>2</v>
      </c>
      <c r="O23" s="18" t="n">
        <f aca="false">COUNTIF(O4:O22,"●")</f>
        <v>5</v>
      </c>
      <c r="P23" s="18" t="n">
        <f aca="false">COUNTIF(P4:P22,"●")</f>
        <v>9</v>
      </c>
      <c r="Q23" s="18" t="n">
        <f aca="false">COUNTIF(Q4:Q22,"●")</f>
        <v>6</v>
      </c>
      <c r="R23" s="18" t="n">
        <f aca="false">COUNTIF(R4:R22,"●")</f>
        <v>4</v>
      </c>
    </row>
  </sheetData>
  <mergeCells count="5">
    <mergeCell ref="A1:R1"/>
    <mergeCell ref="A2:R2"/>
    <mergeCell ref="A4:R4"/>
    <mergeCell ref="A11:R11"/>
    <mergeCell ref="A17:R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227</v>
      </c>
      <c r="B5" s="6" t="s">
        <v>228</v>
      </c>
      <c r="C5" s="8" t="s">
        <v>114</v>
      </c>
      <c r="D5" s="13" t="s">
        <v>114</v>
      </c>
      <c r="E5" s="13" t="s">
        <v>12</v>
      </c>
      <c r="F5" s="13" t="s">
        <v>114</v>
      </c>
      <c r="G5" s="13" t="s">
        <v>12</v>
      </c>
      <c r="H5" s="13" t="s">
        <v>12</v>
      </c>
      <c r="I5" s="13" t="s">
        <v>12</v>
      </c>
      <c r="J5" s="13" t="s">
        <v>184</v>
      </c>
      <c r="K5" s="13" t="s">
        <v>114</v>
      </c>
      <c r="L5" s="13" t="s">
        <v>114</v>
      </c>
      <c r="M5" s="13" t="s">
        <v>114</v>
      </c>
      <c r="N5" s="13" t="s">
        <v>114</v>
      </c>
      <c r="O5" s="13" t="s">
        <v>12</v>
      </c>
      <c r="P5" s="13" t="s">
        <v>12</v>
      </c>
      <c r="Q5" s="13" t="s">
        <v>12</v>
      </c>
      <c r="R5" s="13" t="s">
        <v>12</v>
      </c>
    </row>
    <row r="6" customFormat="false" ht="15" hidden="false" customHeight="false" outlineLevel="0" collapsed="false">
      <c r="A6" s="14" t="s">
        <v>227</v>
      </c>
      <c r="B6" s="14" t="s">
        <v>229</v>
      </c>
      <c r="C6" s="8" t="s">
        <v>114</v>
      </c>
      <c r="D6" s="15" t="s">
        <v>114</v>
      </c>
      <c r="E6" s="15" t="s">
        <v>12</v>
      </c>
      <c r="F6" s="15" t="s">
        <v>184</v>
      </c>
      <c r="G6" s="15" t="s">
        <v>12</v>
      </c>
      <c r="H6" s="15" t="s">
        <v>12</v>
      </c>
      <c r="I6" s="15" t="s">
        <v>12</v>
      </c>
      <c r="J6" s="15" t="s">
        <v>114</v>
      </c>
      <c r="K6" s="15" t="s">
        <v>114</v>
      </c>
      <c r="L6" s="15" t="s">
        <v>114</v>
      </c>
      <c r="M6" s="15" t="s">
        <v>114</v>
      </c>
      <c r="N6" s="15" t="s">
        <v>114</v>
      </c>
      <c r="O6" s="15" t="s">
        <v>184</v>
      </c>
      <c r="P6" s="15" t="s">
        <v>184</v>
      </c>
      <c r="Q6" s="15" t="s">
        <v>12</v>
      </c>
      <c r="R6" s="15" t="s">
        <v>12</v>
      </c>
    </row>
    <row r="7" customFormat="false" ht="15" hidden="false" customHeight="false" outlineLevel="0" collapsed="false">
      <c r="A7" s="6" t="s">
        <v>227</v>
      </c>
      <c r="B7" s="6" t="s">
        <v>230</v>
      </c>
      <c r="C7" s="8" t="s">
        <v>114</v>
      </c>
      <c r="D7" s="13" t="s">
        <v>114</v>
      </c>
      <c r="E7" s="13" t="s">
        <v>12</v>
      </c>
      <c r="F7" s="13" t="s">
        <v>184</v>
      </c>
      <c r="G7" s="13" t="s">
        <v>12</v>
      </c>
      <c r="H7" s="13" t="s">
        <v>114</v>
      </c>
      <c r="I7" s="13" t="s">
        <v>12</v>
      </c>
      <c r="J7" s="13" t="s">
        <v>184</v>
      </c>
      <c r="K7" s="13" t="s">
        <v>114</v>
      </c>
      <c r="L7" s="13" t="s">
        <v>114</v>
      </c>
      <c r="M7" s="13" t="s">
        <v>114</v>
      </c>
      <c r="N7" s="13" t="s">
        <v>114</v>
      </c>
      <c r="O7" s="13" t="s">
        <v>12</v>
      </c>
      <c r="P7" s="13" t="s">
        <v>12</v>
      </c>
      <c r="Q7" s="13" t="s">
        <v>12</v>
      </c>
      <c r="R7" s="13" t="s">
        <v>12</v>
      </c>
    </row>
    <row r="8" customFormat="false" ht="15" hidden="false" customHeight="false" outlineLevel="0" collapsed="false">
      <c r="A8" s="14" t="s">
        <v>227</v>
      </c>
      <c r="B8" s="14" t="s">
        <v>231</v>
      </c>
      <c r="C8" s="8" t="s">
        <v>114</v>
      </c>
      <c r="D8" s="15" t="s">
        <v>114</v>
      </c>
      <c r="E8" s="15" t="s">
        <v>12</v>
      </c>
      <c r="F8" s="15" t="s">
        <v>114</v>
      </c>
      <c r="G8" s="15" t="s">
        <v>12</v>
      </c>
      <c r="H8" s="15" t="s">
        <v>12</v>
      </c>
      <c r="I8" s="15" t="s">
        <v>12</v>
      </c>
      <c r="J8" s="15" t="s">
        <v>12</v>
      </c>
      <c r="K8" s="15" t="s">
        <v>114</v>
      </c>
      <c r="L8" s="15" t="s">
        <v>114</v>
      </c>
      <c r="M8" s="15" t="s">
        <v>114</v>
      </c>
      <c r="N8" s="15" t="s">
        <v>114</v>
      </c>
      <c r="O8" s="15" t="s">
        <v>12</v>
      </c>
      <c r="P8" s="15" t="s">
        <v>12</v>
      </c>
      <c r="Q8" s="15" t="s">
        <v>12</v>
      </c>
      <c r="R8" s="15" t="s">
        <v>12</v>
      </c>
    </row>
    <row r="9" customFormat="false" ht="15" hidden="false" customHeight="false" outlineLevel="0" collapsed="false">
      <c r="A9" s="6" t="s">
        <v>227</v>
      </c>
      <c r="B9" s="6" t="s">
        <v>232</v>
      </c>
      <c r="C9" s="8" t="s">
        <v>114</v>
      </c>
      <c r="D9" s="13" t="s">
        <v>114</v>
      </c>
      <c r="E9" s="13" t="s">
        <v>12</v>
      </c>
      <c r="F9" s="13" t="s">
        <v>114</v>
      </c>
      <c r="G9" s="13" t="s">
        <v>12</v>
      </c>
      <c r="H9" s="13" t="s">
        <v>12</v>
      </c>
      <c r="I9" s="13" t="s">
        <v>12</v>
      </c>
      <c r="J9" s="13" t="s">
        <v>12</v>
      </c>
      <c r="K9" s="13" t="s">
        <v>114</v>
      </c>
      <c r="L9" s="13" t="s">
        <v>114</v>
      </c>
      <c r="M9" s="13" t="s">
        <v>114</v>
      </c>
      <c r="N9" s="13" t="s">
        <v>114</v>
      </c>
      <c r="O9" s="13" t="s">
        <v>12</v>
      </c>
      <c r="P9" s="13" t="s">
        <v>12</v>
      </c>
      <c r="Q9" s="13" t="s">
        <v>12</v>
      </c>
      <c r="R9" s="13" t="s">
        <v>12</v>
      </c>
    </row>
    <row r="10" customFormat="false" ht="15" hidden="false" customHeight="false" outlineLevel="0" collapsed="false">
      <c r="A10" s="14" t="s">
        <v>227</v>
      </c>
      <c r="B10" s="14" t="s">
        <v>233</v>
      </c>
      <c r="C10" s="8" t="s">
        <v>114</v>
      </c>
      <c r="D10" s="15" t="s">
        <v>114</v>
      </c>
      <c r="E10" s="15" t="s">
        <v>12</v>
      </c>
      <c r="F10" s="15" t="s">
        <v>12</v>
      </c>
      <c r="G10" s="15" t="s">
        <v>12</v>
      </c>
      <c r="H10" s="15" t="s">
        <v>12</v>
      </c>
      <c r="I10" s="15" t="s">
        <v>12</v>
      </c>
      <c r="J10" s="15" t="s">
        <v>12</v>
      </c>
      <c r="K10" s="15" t="s">
        <v>114</v>
      </c>
      <c r="L10" s="15" t="s">
        <v>114</v>
      </c>
      <c r="M10" s="15" t="s">
        <v>114</v>
      </c>
      <c r="N10" s="15" t="s">
        <v>114</v>
      </c>
      <c r="O10" s="15" t="s">
        <v>12</v>
      </c>
      <c r="P10" s="15" t="s">
        <v>114</v>
      </c>
      <c r="Q10" s="15" t="s">
        <v>12</v>
      </c>
      <c r="R10" s="15" t="s">
        <v>12</v>
      </c>
    </row>
    <row r="11" customFormat="false" ht="19.5" hidden="false" customHeight="true" outlineLevel="0" collapsed="false">
      <c r="A11" s="7" t="s">
        <v>234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customFormat="false" ht="15" hidden="false" customHeight="false" outlineLevel="0" collapsed="false">
      <c r="A12" s="14" t="s">
        <v>235</v>
      </c>
      <c r="B12" s="14" t="s">
        <v>236</v>
      </c>
      <c r="C12" s="8" t="s">
        <v>114</v>
      </c>
      <c r="D12" s="15" t="s">
        <v>114</v>
      </c>
      <c r="E12" s="15" t="s">
        <v>12</v>
      </c>
      <c r="F12" s="15" t="s">
        <v>114</v>
      </c>
      <c r="G12" s="15" t="s">
        <v>12</v>
      </c>
      <c r="H12" s="15" t="s">
        <v>12</v>
      </c>
      <c r="I12" s="15" t="s">
        <v>12</v>
      </c>
      <c r="J12" s="15" t="s">
        <v>184</v>
      </c>
      <c r="K12" s="15" t="s">
        <v>114</v>
      </c>
      <c r="L12" s="15" t="s">
        <v>114</v>
      </c>
      <c r="M12" s="15" t="s">
        <v>114</v>
      </c>
      <c r="N12" s="15" t="s">
        <v>114</v>
      </c>
      <c r="O12" s="15" t="s">
        <v>12</v>
      </c>
      <c r="P12" s="15" t="s">
        <v>12</v>
      </c>
      <c r="Q12" s="15" t="s">
        <v>12</v>
      </c>
      <c r="R12" s="15" t="s">
        <v>12</v>
      </c>
    </row>
    <row r="13" customFormat="false" ht="15" hidden="false" customHeight="false" outlineLevel="0" collapsed="false">
      <c r="A13" s="6" t="s">
        <v>235</v>
      </c>
      <c r="B13" s="6" t="s">
        <v>237</v>
      </c>
      <c r="C13" s="8" t="s">
        <v>114</v>
      </c>
      <c r="D13" s="13" t="s">
        <v>114</v>
      </c>
      <c r="E13" s="13" t="s">
        <v>12</v>
      </c>
      <c r="F13" s="13" t="s">
        <v>114</v>
      </c>
      <c r="G13" s="13" t="s">
        <v>12</v>
      </c>
      <c r="H13" s="13" t="s">
        <v>12</v>
      </c>
      <c r="I13" s="13" t="s">
        <v>12</v>
      </c>
      <c r="J13" s="13" t="s">
        <v>184</v>
      </c>
      <c r="K13" s="13" t="s">
        <v>114</v>
      </c>
      <c r="L13" s="13" t="s">
        <v>114</v>
      </c>
      <c r="M13" s="13" t="s">
        <v>114</v>
      </c>
      <c r="N13" s="13" t="s">
        <v>114</v>
      </c>
      <c r="O13" s="13" t="s">
        <v>12</v>
      </c>
      <c r="P13" s="13" t="s">
        <v>12</v>
      </c>
      <c r="Q13" s="13" t="s">
        <v>12</v>
      </c>
      <c r="R13" s="13" t="s">
        <v>12</v>
      </c>
    </row>
    <row r="14" customFormat="false" ht="15" hidden="false" customHeight="false" outlineLevel="0" collapsed="false">
      <c r="A14" s="14" t="s">
        <v>235</v>
      </c>
      <c r="B14" s="14" t="s">
        <v>238</v>
      </c>
      <c r="C14" s="8" t="s">
        <v>114</v>
      </c>
      <c r="D14" s="15" t="s">
        <v>114</v>
      </c>
      <c r="E14" s="15" t="s">
        <v>12</v>
      </c>
      <c r="F14" s="15" t="s">
        <v>114</v>
      </c>
      <c r="G14" s="15" t="s">
        <v>12</v>
      </c>
      <c r="H14" s="15" t="s">
        <v>12</v>
      </c>
      <c r="I14" s="15" t="s">
        <v>12</v>
      </c>
      <c r="J14" s="15" t="s">
        <v>184</v>
      </c>
      <c r="K14" s="15" t="s">
        <v>114</v>
      </c>
      <c r="L14" s="15" t="s">
        <v>114</v>
      </c>
      <c r="M14" s="15" t="s">
        <v>114</v>
      </c>
      <c r="N14" s="15" t="s">
        <v>114</v>
      </c>
      <c r="O14" s="15" t="s">
        <v>12</v>
      </c>
      <c r="P14" s="15" t="s">
        <v>12</v>
      </c>
      <c r="Q14" s="15" t="s">
        <v>12</v>
      </c>
      <c r="R14" s="15" t="s">
        <v>12</v>
      </c>
    </row>
    <row r="15" customFormat="false" ht="15" hidden="false" customHeight="false" outlineLevel="0" collapsed="false">
      <c r="A15" s="6" t="s">
        <v>235</v>
      </c>
      <c r="B15" s="6" t="s">
        <v>239</v>
      </c>
      <c r="C15" s="8" t="s">
        <v>114</v>
      </c>
      <c r="D15" s="13" t="s">
        <v>184</v>
      </c>
      <c r="E15" s="13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3" t="s">
        <v>12</v>
      </c>
      <c r="K15" s="13" t="s">
        <v>184</v>
      </c>
      <c r="L15" s="13" t="s">
        <v>184</v>
      </c>
      <c r="M15" s="13" t="s">
        <v>184</v>
      </c>
      <c r="N15" s="13" t="s">
        <v>184</v>
      </c>
      <c r="O15" s="13" t="s">
        <v>12</v>
      </c>
      <c r="P15" s="13" t="s">
        <v>12</v>
      </c>
      <c r="Q15" s="13" t="s">
        <v>12</v>
      </c>
      <c r="R15" s="13" t="s">
        <v>184</v>
      </c>
    </row>
    <row r="16" customFormat="false" ht="15" hidden="false" customHeight="false" outlineLevel="0" collapsed="false">
      <c r="A16" s="14" t="s">
        <v>235</v>
      </c>
      <c r="B16" s="14" t="s">
        <v>240</v>
      </c>
      <c r="C16" s="8" t="s">
        <v>114</v>
      </c>
      <c r="D16" s="15" t="s">
        <v>114</v>
      </c>
      <c r="E16" s="15" t="s">
        <v>12</v>
      </c>
      <c r="F16" s="15" t="s">
        <v>184</v>
      </c>
      <c r="G16" s="15" t="s">
        <v>12</v>
      </c>
      <c r="H16" s="15" t="s">
        <v>12</v>
      </c>
      <c r="I16" s="15" t="s">
        <v>12</v>
      </c>
      <c r="J16" s="15" t="s">
        <v>184</v>
      </c>
      <c r="K16" s="15" t="s">
        <v>114</v>
      </c>
      <c r="L16" s="15" t="s">
        <v>114</v>
      </c>
      <c r="M16" s="15" t="s">
        <v>114</v>
      </c>
      <c r="N16" s="15" t="s">
        <v>114</v>
      </c>
      <c r="O16" s="15" t="s">
        <v>12</v>
      </c>
      <c r="P16" s="15" t="s">
        <v>12</v>
      </c>
      <c r="Q16" s="15" t="s">
        <v>12</v>
      </c>
      <c r="R16" s="15" t="s">
        <v>12</v>
      </c>
    </row>
    <row r="18" customFormat="false" ht="15" hidden="false" customHeight="false" outlineLevel="0" collapsed="false">
      <c r="A18" s="16"/>
      <c r="B18" s="17" t="s">
        <v>200</v>
      </c>
      <c r="C18" s="18" t="n">
        <f aca="false">COUNTIF(C4:C17,"●")</f>
        <v>11</v>
      </c>
      <c r="D18" s="18" t="n">
        <f aca="false">COUNTIF(D4:D17,"●")</f>
        <v>10</v>
      </c>
      <c r="E18" s="18" t="n">
        <f aca="false">COUNTIF(E4:E17,"●")</f>
        <v>0</v>
      </c>
      <c r="F18" s="18" t="n">
        <f aca="false">COUNTIF(F4:F17,"●")</f>
        <v>6</v>
      </c>
      <c r="G18" s="18" t="n">
        <f aca="false">COUNTIF(G4:G17,"●")</f>
        <v>0</v>
      </c>
      <c r="H18" s="18" t="n">
        <f aca="false">COUNTIF(H4:H17,"●")</f>
        <v>1</v>
      </c>
      <c r="I18" s="18" t="n">
        <f aca="false">COUNTIF(I4:I17,"●")</f>
        <v>0</v>
      </c>
      <c r="J18" s="18" t="n">
        <f aca="false">COUNTIF(J4:J17,"●")</f>
        <v>1</v>
      </c>
      <c r="K18" s="18" t="n">
        <f aca="false">COUNTIF(K4:K17,"●")</f>
        <v>10</v>
      </c>
      <c r="L18" s="18" t="n">
        <f aca="false">COUNTIF(L4:L17,"●")</f>
        <v>10</v>
      </c>
      <c r="M18" s="18" t="n">
        <f aca="false">COUNTIF(M4:M17,"●")</f>
        <v>10</v>
      </c>
      <c r="N18" s="18" t="n">
        <f aca="false">COUNTIF(N4:N17,"●")</f>
        <v>10</v>
      </c>
      <c r="O18" s="18" t="n">
        <f aca="false">COUNTIF(O4:O17,"●")</f>
        <v>0</v>
      </c>
      <c r="P18" s="18" t="n">
        <f aca="false">COUNTIF(P4:P17,"●")</f>
        <v>1</v>
      </c>
      <c r="Q18" s="18" t="n">
        <f aca="false">COUNTIF(Q4:Q17,"●")</f>
        <v>0</v>
      </c>
      <c r="R18" s="18" t="n">
        <f aca="false">COUNTIF(R4:R17,"●")</f>
        <v>0</v>
      </c>
    </row>
  </sheetData>
  <mergeCells count="4">
    <mergeCell ref="A1:R1"/>
    <mergeCell ref="A2:R2"/>
    <mergeCell ref="A4:R4"/>
    <mergeCell ref="A11:R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244</v>
      </c>
      <c r="B5" s="6" t="s">
        <v>245</v>
      </c>
      <c r="C5" s="8" t="s">
        <v>114</v>
      </c>
      <c r="D5" s="13" t="s">
        <v>114</v>
      </c>
      <c r="E5" s="13" t="s">
        <v>114</v>
      </c>
      <c r="F5" s="13" t="s">
        <v>114</v>
      </c>
      <c r="G5" s="13" t="s">
        <v>12</v>
      </c>
      <c r="H5" s="13" t="s">
        <v>12</v>
      </c>
      <c r="I5" s="13" t="s">
        <v>12</v>
      </c>
      <c r="J5" s="13" t="s">
        <v>114</v>
      </c>
      <c r="K5" s="13" t="s">
        <v>114</v>
      </c>
      <c r="L5" s="13" t="s">
        <v>114</v>
      </c>
      <c r="M5" s="13" t="s">
        <v>246</v>
      </c>
      <c r="N5" s="13" t="s">
        <v>114</v>
      </c>
      <c r="O5" s="13" t="s">
        <v>114</v>
      </c>
      <c r="P5" s="13" t="s">
        <v>114</v>
      </c>
      <c r="Q5" s="13" t="s">
        <v>246</v>
      </c>
      <c r="R5" s="13" t="s">
        <v>114</v>
      </c>
    </row>
    <row r="6" customFormat="false" ht="15" hidden="false" customHeight="false" outlineLevel="0" collapsed="false">
      <c r="A6" s="14" t="s">
        <v>244</v>
      </c>
      <c r="B6" s="14" t="s">
        <v>247</v>
      </c>
      <c r="C6" s="8" t="s">
        <v>114</v>
      </c>
      <c r="D6" s="15" t="s">
        <v>114</v>
      </c>
      <c r="E6" s="15" t="s">
        <v>184</v>
      </c>
      <c r="F6" s="15" t="s">
        <v>114</v>
      </c>
      <c r="G6" s="15" t="s">
        <v>12</v>
      </c>
      <c r="H6" s="15" t="s">
        <v>12</v>
      </c>
      <c r="I6" s="15" t="s">
        <v>12</v>
      </c>
      <c r="J6" s="15" t="s">
        <v>12</v>
      </c>
      <c r="K6" s="15" t="s">
        <v>114</v>
      </c>
      <c r="L6" s="15" t="s">
        <v>114</v>
      </c>
      <c r="M6" s="15" t="s">
        <v>246</v>
      </c>
      <c r="N6" s="15" t="s">
        <v>114</v>
      </c>
      <c r="O6" s="15" t="s">
        <v>12</v>
      </c>
      <c r="P6" s="15" t="s">
        <v>184</v>
      </c>
      <c r="Q6" s="15" t="s">
        <v>12</v>
      </c>
      <c r="R6" s="15" t="s">
        <v>184</v>
      </c>
    </row>
    <row r="7" customFormat="false" ht="15" hidden="false" customHeight="false" outlineLevel="0" collapsed="false">
      <c r="A7" s="6" t="s">
        <v>244</v>
      </c>
      <c r="B7" s="6" t="s">
        <v>248</v>
      </c>
      <c r="C7" s="8" t="s">
        <v>114</v>
      </c>
      <c r="D7" s="13" t="s">
        <v>114</v>
      </c>
      <c r="E7" s="13" t="s">
        <v>114</v>
      </c>
      <c r="F7" s="13" t="s">
        <v>114</v>
      </c>
      <c r="G7" s="13" t="s">
        <v>12</v>
      </c>
      <c r="H7" s="13" t="s">
        <v>12</v>
      </c>
      <c r="I7" s="13" t="s">
        <v>12</v>
      </c>
      <c r="J7" s="13" t="s">
        <v>114</v>
      </c>
      <c r="K7" s="13" t="s">
        <v>114</v>
      </c>
      <c r="L7" s="13" t="s">
        <v>114</v>
      </c>
      <c r="M7" s="13" t="s">
        <v>114</v>
      </c>
      <c r="N7" s="13" t="s">
        <v>114</v>
      </c>
      <c r="O7" s="13" t="s">
        <v>114</v>
      </c>
      <c r="P7" s="13" t="s">
        <v>114</v>
      </c>
      <c r="Q7" s="13" t="s">
        <v>12</v>
      </c>
      <c r="R7" s="13" t="s">
        <v>114</v>
      </c>
    </row>
    <row r="8" customFormat="false" ht="15" hidden="false" customHeight="false" outlineLevel="0" collapsed="false">
      <c r="A8" s="14" t="s">
        <v>244</v>
      </c>
      <c r="B8" s="14" t="s">
        <v>249</v>
      </c>
      <c r="C8" s="8" t="s">
        <v>114</v>
      </c>
      <c r="D8" s="15" t="s">
        <v>114</v>
      </c>
      <c r="E8" s="15" t="s">
        <v>114</v>
      </c>
      <c r="F8" s="15" t="s">
        <v>114</v>
      </c>
      <c r="G8" s="15" t="s">
        <v>12</v>
      </c>
      <c r="H8" s="15" t="s">
        <v>12</v>
      </c>
      <c r="I8" s="15" t="s">
        <v>12</v>
      </c>
      <c r="J8" s="15" t="s">
        <v>184</v>
      </c>
      <c r="K8" s="15" t="s">
        <v>114</v>
      </c>
      <c r="L8" s="15" t="s">
        <v>114</v>
      </c>
      <c r="M8" s="15" t="s">
        <v>114</v>
      </c>
      <c r="N8" s="15" t="s">
        <v>114</v>
      </c>
      <c r="O8" s="15" t="s">
        <v>114</v>
      </c>
      <c r="P8" s="15" t="s">
        <v>114</v>
      </c>
      <c r="Q8" s="15" t="s">
        <v>12</v>
      </c>
      <c r="R8" s="15" t="s">
        <v>114</v>
      </c>
    </row>
    <row r="9" customFormat="false" ht="15" hidden="false" customHeight="false" outlineLevel="0" collapsed="false">
      <c r="A9" s="6" t="s">
        <v>244</v>
      </c>
      <c r="B9" s="6" t="s">
        <v>250</v>
      </c>
      <c r="C9" s="8" t="s">
        <v>114</v>
      </c>
      <c r="D9" s="13" t="s">
        <v>114</v>
      </c>
      <c r="E9" s="13" t="s">
        <v>184</v>
      </c>
      <c r="F9" s="13" t="s">
        <v>114</v>
      </c>
      <c r="G9" s="13" t="s">
        <v>12</v>
      </c>
      <c r="H9" s="13" t="s">
        <v>12</v>
      </c>
      <c r="I9" s="13" t="s">
        <v>12</v>
      </c>
      <c r="J9" s="13" t="s">
        <v>12</v>
      </c>
      <c r="K9" s="13" t="s">
        <v>114</v>
      </c>
      <c r="L9" s="13" t="s">
        <v>114</v>
      </c>
      <c r="M9" s="13" t="s">
        <v>184</v>
      </c>
      <c r="N9" s="13" t="s">
        <v>114</v>
      </c>
      <c r="O9" s="13" t="s">
        <v>12</v>
      </c>
      <c r="P9" s="13" t="s">
        <v>114</v>
      </c>
      <c r="Q9" s="13" t="s">
        <v>12</v>
      </c>
      <c r="R9" s="13" t="s">
        <v>184</v>
      </c>
    </row>
    <row r="10" customFormat="false" ht="19.5" hidden="false" customHeight="true" outlineLevel="0" collapsed="false">
      <c r="A10" s="7" t="s">
        <v>251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6" t="s">
        <v>252</v>
      </c>
      <c r="B11" s="6" t="s">
        <v>253</v>
      </c>
      <c r="C11" s="8" t="s">
        <v>114</v>
      </c>
      <c r="D11" s="13" t="s">
        <v>114</v>
      </c>
      <c r="E11" s="13" t="s">
        <v>114</v>
      </c>
      <c r="F11" s="13" t="s">
        <v>114</v>
      </c>
      <c r="G11" s="13" t="s">
        <v>12</v>
      </c>
      <c r="H11" s="13" t="s">
        <v>12</v>
      </c>
      <c r="I11" s="13" t="s">
        <v>12</v>
      </c>
      <c r="J11" s="13" t="s">
        <v>184</v>
      </c>
      <c r="K11" s="13" t="s">
        <v>114</v>
      </c>
      <c r="L11" s="13" t="s">
        <v>114</v>
      </c>
      <c r="M11" s="13" t="s">
        <v>114</v>
      </c>
      <c r="N11" s="13" t="s">
        <v>114</v>
      </c>
      <c r="O11" s="13" t="s">
        <v>114</v>
      </c>
      <c r="P11" s="13" t="s">
        <v>114</v>
      </c>
      <c r="Q11" s="13" t="s">
        <v>12</v>
      </c>
      <c r="R11" s="13" t="s">
        <v>114</v>
      </c>
    </row>
    <row r="12" customFormat="false" ht="15" hidden="false" customHeight="false" outlineLevel="0" collapsed="false">
      <c r="A12" s="14" t="s">
        <v>252</v>
      </c>
      <c r="B12" s="14" t="s">
        <v>254</v>
      </c>
      <c r="C12" s="8" t="s">
        <v>114</v>
      </c>
      <c r="D12" s="15" t="s">
        <v>246</v>
      </c>
      <c r="E12" s="15" t="s">
        <v>184</v>
      </c>
      <c r="F12" s="15" t="s">
        <v>184</v>
      </c>
      <c r="G12" s="15" t="s">
        <v>12</v>
      </c>
      <c r="H12" s="15" t="s">
        <v>12</v>
      </c>
      <c r="I12" s="15" t="s">
        <v>12</v>
      </c>
      <c r="J12" s="15" t="s">
        <v>12</v>
      </c>
      <c r="K12" s="15" t="s">
        <v>246</v>
      </c>
      <c r="L12" s="15" t="s">
        <v>246</v>
      </c>
      <c r="M12" s="15" t="s">
        <v>184</v>
      </c>
      <c r="N12" s="15" t="s">
        <v>184</v>
      </c>
      <c r="O12" s="15" t="s">
        <v>12</v>
      </c>
      <c r="P12" s="15" t="s">
        <v>184</v>
      </c>
      <c r="Q12" s="15" t="s">
        <v>12</v>
      </c>
      <c r="R12" s="15" t="s">
        <v>184</v>
      </c>
    </row>
    <row r="13" customFormat="false" ht="15" hidden="false" customHeight="false" outlineLevel="0" collapsed="false">
      <c r="A13" s="6" t="s">
        <v>252</v>
      </c>
      <c r="B13" s="6" t="s">
        <v>255</v>
      </c>
      <c r="C13" s="8" t="s">
        <v>114</v>
      </c>
      <c r="D13" s="13" t="s">
        <v>114</v>
      </c>
      <c r="E13" s="13" t="s">
        <v>114</v>
      </c>
      <c r="F13" s="13" t="s">
        <v>114</v>
      </c>
      <c r="G13" s="13" t="s">
        <v>12</v>
      </c>
      <c r="H13" s="13" t="s">
        <v>12</v>
      </c>
      <c r="I13" s="13" t="s">
        <v>12</v>
      </c>
      <c r="J13" s="13" t="s">
        <v>114</v>
      </c>
      <c r="K13" s="13" t="s">
        <v>114</v>
      </c>
      <c r="L13" s="13" t="s">
        <v>114</v>
      </c>
      <c r="M13" s="13" t="s">
        <v>114</v>
      </c>
      <c r="N13" s="13" t="s">
        <v>114</v>
      </c>
      <c r="O13" s="13" t="s">
        <v>114</v>
      </c>
      <c r="P13" s="13" t="s">
        <v>114</v>
      </c>
      <c r="Q13" s="13" t="s">
        <v>12</v>
      </c>
      <c r="R13" s="13" t="s">
        <v>114</v>
      </c>
    </row>
    <row r="14" customFormat="false" ht="15" hidden="false" customHeight="false" outlineLevel="0" collapsed="false">
      <c r="A14" s="14" t="s">
        <v>252</v>
      </c>
      <c r="B14" s="14" t="s">
        <v>256</v>
      </c>
      <c r="C14" s="8" t="s">
        <v>114</v>
      </c>
      <c r="D14" s="15" t="s">
        <v>114</v>
      </c>
      <c r="E14" s="15" t="s">
        <v>184</v>
      </c>
      <c r="F14" s="15" t="s">
        <v>114</v>
      </c>
      <c r="G14" s="15" t="s">
        <v>12</v>
      </c>
      <c r="H14" s="15" t="s">
        <v>12</v>
      </c>
      <c r="I14" s="15" t="s">
        <v>12</v>
      </c>
      <c r="J14" s="15" t="s">
        <v>184</v>
      </c>
      <c r="K14" s="15" t="s">
        <v>114</v>
      </c>
      <c r="L14" s="15" t="s">
        <v>114</v>
      </c>
      <c r="M14" s="15" t="s">
        <v>114</v>
      </c>
      <c r="N14" s="15" t="s">
        <v>114</v>
      </c>
      <c r="O14" s="15" t="s">
        <v>114</v>
      </c>
      <c r="P14" s="15" t="s">
        <v>184</v>
      </c>
      <c r="Q14" s="15" t="s">
        <v>12</v>
      </c>
      <c r="R14" s="15" t="s">
        <v>184</v>
      </c>
    </row>
    <row r="15" customFormat="false" ht="15" hidden="false" customHeight="false" outlineLevel="0" collapsed="false">
      <c r="A15" s="6" t="s">
        <v>252</v>
      </c>
      <c r="B15" s="6" t="s">
        <v>257</v>
      </c>
      <c r="C15" s="8" t="s">
        <v>114</v>
      </c>
      <c r="D15" s="13" t="s">
        <v>114</v>
      </c>
      <c r="E15" s="13" t="s">
        <v>114</v>
      </c>
      <c r="F15" s="13" t="s">
        <v>114</v>
      </c>
      <c r="G15" s="13" t="s">
        <v>12</v>
      </c>
      <c r="H15" s="13" t="s">
        <v>12</v>
      </c>
      <c r="I15" s="13" t="s">
        <v>12</v>
      </c>
      <c r="J15" s="13" t="s">
        <v>184</v>
      </c>
      <c r="K15" s="13" t="s">
        <v>114</v>
      </c>
      <c r="L15" s="13" t="s">
        <v>114</v>
      </c>
      <c r="M15" s="13" t="s">
        <v>114</v>
      </c>
      <c r="N15" s="13" t="s">
        <v>114</v>
      </c>
      <c r="O15" s="13" t="s">
        <v>114</v>
      </c>
      <c r="P15" s="13" t="s">
        <v>114</v>
      </c>
      <c r="Q15" s="13" t="s">
        <v>184</v>
      </c>
      <c r="R15" s="13" t="s">
        <v>114</v>
      </c>
    </row>
    <row r="16" customFormat="false" ht="15" hidden="false" customHeight="false" outlineLevel="0" collapsed="false">
      <c r="A16" s="14" t="s">
        <v>252</v>
      </c>
      <c r="B16" s="14" t="s">
        <v>258</v>
      </c>
      <c r="C16" s="8" t="s">
        <v>114</v>
      </c>
      <c r="D16" s="15" t="s">
        <v>246</v>
      </c>
      <c r="E16" s="15" t="s">
        <v>184</v>
      </c>
      <c r="F16" s="15" t="s">
        <v>246</v>
      </c>
      <c r="G16" s="15" t="s">
        <v>12</v>
      </c>
      <c r="H16" s="15" t="s">
        <v>12</v>
      </c>
      <c r="I16" s="15" t="s">
        <v>12</v>
      </c>
      <c r="J16" s="15" t="s">
        <v>12</v>
      </c>
      <c r="K16" s="15" t="s">
        <v>246</v>
      </c>
      <c r="L16" s="15" t="s">
        <v>246</v>
      </c>
      <c r="M16" s="15" t="s">
        <v>246</v>
      </c>
      <c r="N16" s="15" t="s">
        <v>246</v>
      </c>
      <c r="O16" s="15" t="s">
        <v>114</v>
      </c>
      <c r="P16" s="15" t="s">
        <v>184</v>
      </c>
      <c r="Q16" s="15" t="s">
        <v>12</v>
      </c>
      <c r="R16" s="15" t="s">
        <v>184</v>
      </c>
    </row>
    <row r="18" customFormat="false" ht="15" hidden="false" customHeight="false" outlineLevel="0" collapsed="false">
      <c r="A18" s="16"/>
      <c r="B18" s="17" t="s">
        <v>200</v>
      </c>
      <c r="C18" s="18" t="n">
        <f aca="false">COUNTIF(C4:C17,"●")</f>
        <v>11</v>
      </c>
      <c r="D18" s="18" t="n">
        <f aca="false">COUNTIF(D4:D17,"●")</f>
        <v>9</v>
      </c>
      <c r="E18" s="18" t="n">
        <f aca="false">COUNTIF(E4:E17,"●")</f>
        <v>6</v>
      </c>
      <c r="F18" s="18" t="n">
        <f aca="false">COUNTIF(F4:F17,"●")</f>
        <v>9</v>
      </c>
      <c r="G18" s="18" t="n">
        <f aca="false">COUNTIF(G4:G17,"●")</f>
        <v>0</v>
      </c>
      <c r="H18" s="18" t="n">
        <f aca="false">COUNTIF(H4:H17,"●")</f>
        <v>0</v>
      </c>
      <c r="I18" s="18" t="n">
        <f aca="false">COUNTIF(I4:I17,"●")</f>
        <v>0</v>
      </c>
      <c r="J18" s="18" t="n">
        <f aca="false">COUNTIF(J4:J17,"●")</f>
        <v>3</v>
      </c>
      <c r="K18" s="18" t="n">
        <f aca="false">COUNTIF(K4:K17,"●")</f>
        <v>9</v>
      </c>
      <c r="L18" s="18" t="n">
        <f aca="false">COUNTIF(L4:L17,"●")</f>
        <v>9</v>
      </c>
      <c r="M18" s="18" t="n">
        <f aca="false">COUNTIF(M4:M17,"●")</f>
        <v>6</v>
      </c>
      <c r="N18" s="18" t="n">
        <f aca="false">COUNTIF(N4:N17,"●")</f>
        <v>9</v>
      </c>
      <c r="O18" s="18" t="n">
        <f aca="false">COUNTIF(O4:O17,"●")</f>
        <v>8</v>
      </c>
      <c r="P18" s="18" t="n">
        <f aca="false">COUNTIF(P4:P17,"●")</f>
        <v>7</v>
      </c>
      <c r="Q18" s="18" t="n">
        <f aca="false">COUNTIF(Q4:Q17,"●")</f>
        <v>0</v>
      </c>
      <c r="R18" s="18" t="n">
        <f aca="false">COUNTIF(R4:R17,"●")</f>
        <v>6</v>
      </c>
    </row>
  </sheetData>
  <mergeCells count="4">
    <mergeCell ref="A1:R1"/>
    <mergeCell ref="A2:R2"/>
    <mergeCell ref="A4:R4"/>
    <mergeCell ref="A10:R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262</v>
      </c>
      <c r="B5" s="6" t="s">
        <v>263</v>
      </c>
      <c r="C5" s="8" t="s">
        <v>114</v>
      </c>
      <c r="D5" s="13" t="s">
        <v>114</v>
      </c>
      <c r="E5" s="13" t="s">
        <v>114</v>
      </c>
      <c r="F5" s="13" t="s">
        <v>114</v>
      </c>
      <c r="G5" s="13" t="s">
        <v>12</v>
      </c>
      <c r="H5" s="13" t="s">
        <v>12</v>
      </c>
      <c r="I5" s="13" t="s">
        <v>12</v>
      </c>
      <c r="J5" s="13" t="s">
        <v>114</v>
      </c>
      <c r="K5" s="13" t="s">
        <v>114</v>
      </c>
      <c r="L5" s="13" t="s">
        <v>114</v>
      </c>
      <c r="M5" s="13" t="s">
        <v>114</v>
      </c>
      <c r="N5" s="13" t="s">
        <v>114</v>
      </c>
      <c r="O5" s="13" t="s">
        <v>12</v>
      </c>
      <c r="P5" s="13" t="s">
        <v>114</v>
      </c>
      <c r="Q5" s="13" t="s">
        <v>12</v>
      </c>
      <c r="R5" s="13" t="s">
        <v>114</v>
      </c>
    </row>
    <row r="6" customFormat="false" ht="15" hidden="false" customHeight="false" outlineLevel="0" collapsed="false">
      <c r="A6" s="14" t="s">
        <v>262</v>
      </c>
      <c r="B6" s="14" t="s">
        <v>264</v>
      </c>
      <c r="C6" s="8" t="s">
        <v>114</v>
      </c>
      <c r="D6" s="15" t="s">
        <v>114</v>
      </c>
      <c r="E6" s="15" t="s">
        <v>114</v>
      </c>
      <c r="F6" s="15" t="s">
        <v>114</v>
      </c>
      <c r="G6" s="15" t="s">
        <v>12</v>
      </c>
      <c r="H6" s="15" t="s">
        <v>12</v>
      </c>
      <c r="I6" s="15" t="s">
        <v>12</v>
      </c>
      <c r="J6" s="15" t="s">
        <v>184</v>
      </c>
      <c r="K6" s="15" t="s">
        <v>114</v>
      </c>
      <c r="L6" s="15" t="s">
        <v>114</v>
      </c>
      <c r="M6" s="15" t="s">
        <v>114</v>
      </c>
      <c r="N6" s="15" t="s">
        <v>114</v>
      </c>
      <c r="O6" s="15" t="s">
        <v>12</v>
      </c>
      <c r="P6" s="15" t="s">
        <v>114</v>
      </c>
      <c r="Q6" s="15" t="s">
        <v>12</v>
      </c>
      <c r="R6" s="15" t="s">
        <v>184</v>
      </c>
    </row>
    <row r="7" customFormat="false" ht="15" hidden="false" customHeight="false" outlineLevel="0" collapsed="false">
      <c r="A7" s="6" t="s">
        <v>262</v>
      </c>
      <c r="B7" s="6" t="s">
        <v>265</v>
      </c>
      <c r="C7" s="8" t="s">
        <v>114</v>
      </c>
      <c r="D7" s="13" t="s">
        <v>114</v>
      </c>
      <c r="E7" s="13" t="s">
        <v>184</v>
      </c>
      <c r="F7" s="13" t="s">
        <v>114</v>
      </c>
      <c r="G7" s="13" t="s">
        <v>12</v>
      </c>
      <c r="H7" s="13" t="s">
        <v>12</v>
      </c>
      <c r="I7" s="13" t="s">
        <v>12</v>
      </c>
      <c r="J7" s="13" t="s">
        <v>184</v>
      </c>
      <c r="K7" s="13" t="s">
        <v>114</v>
      </c>
      <c r="L7" s="13" t="s">
        <v>114</v>
      </c>
      <c r="M7" s="13" t="s">
        <v>114</v>
      </c>
      <c r="N7" s="13" t="s">
        <v>114</v>
      </c>
      <c r="O7" s="13" t="s">
        <v>12</v>
      </c>
      <c r="P7" s="13" t="s">
        <v>114</v>
      </c>
      <c r="Q7" s="13" t="s">
        <v>12</v>
      </c>
      <c r="R7" s="13" t="s">
        <v>184</v>
      </c>
    </row>
    <row r="8" customFormat="false" ht="15" hidden="false" customHeight="false" outlineLevel="0" collapsed="false">
      <c r="A8" s="14" t="s">
        <v>262</v>
      </c>
      <c r="B8" s="14" t="s">
        <v>266</v>
      </c>
      <c r="C8" s="8" t="s">
        <v>114</v>
      </c>
      <c r="D8" s="15" t="s">
        <v>114</v>
      </c>
      <c r="E8" s="15" t="s">
        <v>114</v>
      </c>
      <c r="F8" s="15" t="s">
        <v>114</v>
      </c>
      <c r="G8" s="15" t="s">
        <v>12</v>
      </c>
      <c r="H8" s="15" t="s">
        <v>12</v>
      </c>
      <c r="I8" s="15" t="s">
        <v>12</v>
      </c>
      <c r="J8" s="15" t="s">
        <v>184</v>
      </c>
      <c r="K8" s="15" t="s">
        <v>114</v>
      </c>
      <c r="L8" s="15" t="s">
        <v>114</v>
      </c>
      <c r="M8" s="15" t="s">
        <v>114</v>
      </c>
      <c r="N8" s="15" t="s">
        <v>114</v>
      </c>
      <c r="O8" s="15" t="s">
        <v>12</v>
      </c>
      <c r="P8" s="15" t="s">
        <v>114</v>
      </c>
      <c r="Q8" s="15" t="s">
        <v>12</v>
      </c>
      <c r="R8" s="15" t="s">
        <v>114</v>
      </c>
    </row>
    <row r="9" customFormat="false" ht="15" hidden="false" customHeight="false" outlineLevel="0" collapsed="false">
      <c r="A9" s="6" t="s">
        <v>262</v>
      </c>
      <c r="B9" s="6" t="s">
        <v>267</v>
      </c>
      <c r="C9" s="8" t="s">
        <v>114</v>
      </c>
      <c r="D9" s="13" t="s">
        <v>114</v>
      </c>
      <c r="E9" s="13" t="s">
        <v>114</v>
      </c>
      <c r="F9" s="13" t="s">
        <v>114</v>
      </c>
      <c r="G9" s="13" t="s">
        <v>12</v>
      </c>
      <c r="H9" s="13" t="s">
        <v>12</v>
      </c>
      <c r="I9" s="13" t="s">
        <v>184</v>
      </c>
      <c r="J9" s="13" t="s">
        <v>114</v>
      </c>
      <c r="K9" s="13" t="s">
        <v>114</v>
      </c>
      <c r="L9" s="13" t="s">
        <v>114</v>
      </c>
      <c r="M9" s="13" t="s">
        <v>114</v>
      </c>
      <c r="N9" s="13" t="s">
        <v>114</v>
      </c>
      <c r="O9" s="13" t="s">
        <v>184</v>
      </c>
      <c r="P9" s="13" t="s">
        <v>114</v>
      </c>
      <c r="Q9" s="13" t="s">
        <v>12</v>
      </c>
      <c r="R9" s="13" t="s">
        <v>114</v>
      </c>
    </row>
    <row r="10" customFormat="false" ht="15" hidden="false" customHeight="false" outlineLevel="0" collapsed="false">
      <c r="A10" s="14" t="s">
        <v>262</v>
      </c>
      <c r="B10" s="14" t="s">
        <v>268</v>
      </c>
      <c r="C10" s="8" t="s">
        <v>114</v>
      </c>
      <c r="D10" s="15" t="s">
        <v>114</v>
      </c>
      <c r="E10" s="15" t="s">
        <v>184</v>
      </c>
      <c r="F10" s="15" t="s">
        <v>114</v>
      </c>
      <c r="G10" s="15" t="s">
        <v>12</v>
      </c>
      <c r="H10" s="15" t="s">
        <v>12</v>
      </c>
      <c r="I10" s="15" t="s">
        <v>12</v>
      </c>
      <c r="J10" s="15" t="s">
        <v>184</v>
      </c>
      <c r="K10" s="15" t="s">
        <v>114</v>
      </c>
      <c r="L10" s="15" t="s">
        <v>114</v>
      </c>
      <c r="M10" s="15" t="s">
        <v>114</v>
      </c>
      <c r="N10" s="15" t="s">
        <v>114</v>
      </c>
      <c r="O10" s="15" t="s">
        <v>12</v>
      </c>
      <c r="P10" s="15" t="s">
        <v>114</v>
      </c>
      <c r="Q10" s="15" t="s">
        <v>12</v>
      </c>
      <c r="R10" s="15" t="s">
        <v>114</v>
      </c>
    </row>
    <row r="11" customFormat="false" ht="19.5" hidden="false" customHeight="true" outlineLevel="0" collapsed="false">
      <c r="A11" s="7" t="s">
        <v>269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customFormat="false" ht="15" hidden="false" customHeight="false" outlineLevel="0" collapsed="false">
      <c r="A12" s="14" t="s">
        <v>270</v>
      </c>
      <c r="B12" s="14" t="s">
        <v>271</v>
      </c>
      <c r="C12" s="8" t="s">
        <v>114</v>
      </c>
      <c r="D12" s="15" t="s">
        <v>114</v>
      </c>
      <c r="E12" s="15" t="s">
        <v>184</v>
      </c>
      <c r="F12" s="15" t="s">
        <v>114</v>
      </c>
      <c r="G12" s="15" t="s">
        <v>12</v>
      </c>
      <c r="H12" s="15" t="s">
        <v>12</v>
      </c>
      <c r="I12" s="15" t="s">
        <v>12</v>
      </c>
      <c r="J12" s="15" t="s">
        <v>184</v>
      </c>
      <c r="K12" s="15" t="s">
        <v>114</v>
      </c>
      <c r="L12" s="15" t="s">
        <v>114</v>
      </c>
      <c r="M12" s="15" t="s">
        <v>114</v>
      </c>
      <c r="N12" s="15" t="s">
        <v>114</v>
      </c>
      <c r="O12" s="15" t="s">
        <v>114</v>
      </c>
      <c r="P12" s="15" t="s">
        <v>184</v>
      </c>
      <c r="Q12" s="15" t="s">
        <v>12</v>
      </c>
      <c r="R12" s="15" t="s">
        <v>114</v>
      </c>
    </row>
    <row r="13" customFormat="false" ht="15" hidden="false" customHeight="false" outlineLevel="0" collapsed="false">
      <c r="A13" s="6" t="s">
        <v>270</v>
      </c>
      <c r="B13" s="6" t="s">
        <v>272</v>
      </c>
      <c r="C13" s="8" t="s">
        <v>114</v>
      </c>
      <c r="D13" s="13" t="s">
        <v>114</v>
      </c>
      <c r="E13" s="13" t="s">
        <v>12</v>
      </c>
      <c r="F13" s="13" t="s">
        <v>184</v>
      </c>
      <c r="G13" s="13" t="s">
        <v>12</v>
      </c>
      <c r="H13" s="13" t="s">
        <v>12</v>
      </c>
      <c r="I13" s="13" t="s">
        <v>12</v>
      </c>
      <c r="J13" s="13" t="s">
        <v>184</v>
      </c>
      <c r="K13" s="13" t="s">
        <v>114</v>
      </c>
      <c r="L13" s="13" t="s">
        <v>114</v>
      </c>
      <c r="M13" s="13" t="s">
        <v>114</v>
      </c>
      <c r="N13" s="13" t="s">
        <v>114</v>
      </c>
      <c r="O13" s="13" t="s">
        <v>12</v>
      </c>
      <c r="P13" s="13" t="s">
        <v>184</v>
      </c>
      <c r="Q13" s="13" t="s">
        <v>12</v>
      </c>
      <c r="R13" s="13" t="s">
        <v>184</v>
      </c>
    </row>
    <row r="14" customFormat="false" ht="15" hidden="false" customHeight="false" outlineLevel="0" collapsed="false">
      <c r="A14" s="14" t="s">
        <v>270</v>
      </c>
      <c r="B14" s="14" t="s">
        <v>273</v>
      </c>
      <c r="C14" s="8" t="s">
        <v>114</v>
      </c>
      <c r="D14" s="15" t="s">
        <v>184</v>
      </c>
      <c r="E14" s="15" t="s">
        <v>12</v>
      </c>
      <c r="F14" s="15" t="s">
        <v>12</v>
      </c>
      <c r="G14" s="15" t="s">
        <v>12</v>
      </c>
      <c r="H14" s="15" t="s">
        <v>12</v>
      </c>
      <c r="I14" s="15" t="s">
        <v>12</v>
      </c>
      <c r="J14" s="15" t="s">
        <v>12</v>
      </c>
      <c r="K14" s="15" t="s">
        <v>184</v>
      </c>
      <c r="L14" s="15" t="s">
        <v>184</v>
      </c>
      <c r="M14" s="15" t="s">
        <v>184</v>
      </c>
      <c r="N14" s="15" t="s">
        <v>184</v>
      </c>
      <c r="O14" s="15" t="s">
        <v>12</v>
      </c>
      <c r="P14" s="15" t="s">
        <v>184</v>
      </c>
      <c r="Q14" s="15" t="s">
        <v>12</v>
      </c>
      <c r="R14" s="15" t="s">
        <v>12</v>
      </c>
    </row>
    <row r="15" customFormat="false" ht="15" hidden="false" customHeight="false" outlineLevel="0" collapsed="false">
      <c r="A15" s="6" t="s">
        <v>270</v>
      </c>
      <c r="B15" s="6" t="s">
        <v>274</v>
      </c>
      <c r="C15" s="8" t="s">
        <v>114</v>
      </c>
      <c r="D15" s="13" t="s">
        <v>114</v>
      </c>
      <c r="E15" s="13" t="s">
        <v>184</v>
      </c>
      <c r="F15" s="13" t="s">
        <v>114</v>
      </c>
      <c r="G15" s="13" t="s">
        <v>184</v>
      </c>
      <c r="H15" s="13" t="s">
        <v>12</v>
      </c>
      <c r="I15" s="13" t="s">
        <v>12</v>
      </c>
      <c r="J15" s="13" t="s">
        <v>12</v>
      </c>
      <c r="K15" s="13" t="s">
        <v>114</v>
      </c>
      <c r="L15" s="13" t="s">
        <v>114</v>
      </c>
      <c r="M15" s="13" t="s">
        <v>114</v>
      </c>
      <c r="N15" s="13" t="s">
        <v>114</v>
      </c>
      <c r="O15" s="13" t="s">
        <v>12</v>
      </c>
      <c r="P15" s="13" t="s">
        <v>184</v>
      </c>
      <c r="Q15" s="13" t="s">
        <v>184</v>
      </c>
      <c r="R15" s="13" t="s">
        <v>114</v>
      </c>
    </row>
    <row r="17" customFormat="false" ht="15" hidden="false" customHeight="false" outlineLevel="0" collapsed="false">
      <c r="A17" s="16"/>
      <c r="B17" s="17" t="s">
        <v>200</v>
      </c>
      <c r="C17" s="18" t="n">
        <f aca="false">COUNTIF(C4:C16,"●")</f>
        <v>10</v>
      </c>
      <c r="D17" s="18" t="n">
        <f aca="false">COUNTIF(D4:D16,"●")</f>
        <v>9</v>
      </c>
      <c r="E17" s="18" t="n">
        <f aca="false">COUNTIF(E4:E16,"●")</f>
        <v>4</v>
      </c>
      <c r="F17" s="18" t="n">
        <f aca="false">COUNTIF(F4:F16,"●")</f>
        <v>8</v>
      </c>
      <c r="G17" s="18" t="n">
        <f aca="false">COUNTIF(G4:G16,"●")</f>
        <v>0</v>
      </c>
      <c r="H17" s="18" t="n">
        <f aca="false">COUNTIF(H4:H16,"●")</f>
        <v>0</v>
      </c>
      <c r="I17" s="18" t="n">
        <f aca="false">COUNTIF(I4:I16,"●")</f>
        <v>0</v>
      </c>
      <c r="J17" s="18" t="n">
        <f aca="false">COUNTIF(J4:J16,"●")</f>
        <v>2</v>
      </c>
      <c r="K17" s="18" t="n">
        <f aca="false">COUNTIF(K4:K16,"●")</f>
        <v>9</v>
      </c>
      <c r="L17" s="18" t="n">
        <f aca="false">COUNTIF(L4:L16,"●")</f>
        <v>9</v>
      </c>
      <c r="M17" s="18" t="n">
        <f aca="false">COUNTIF(M4:M16,"●")</f>
        <v>9</v>
      </c>
      <c r="N17" s="18" t="n">
        <f aca="false">COUNTIF(N4:N16,"●")</f>
        <v>9</v>
      </c>
      <c r="O17" s="18" t="n">
        <f aca="false">COUNTIF(O4:O16,"●")</f>
        <v>1</v>
      </c>
      <c r="P17" s="18" t="n">
        <f aca="false">COUNTIF(P4:P16,"●")</f>
        <v>6</v>
      </c>
      <c r="Q17" s="18" t="n">
        <f aca="false">COUNTIF(Q4:Q16,"●")</f>
        <v>0</v>
      </c>
      <c r="R17" s="18" t="n">
        <f aca="false">COUNTIF(R4:R16,"●")</f>
        <v>6</v>
      </c>
    </row>
  </sheetData>
  <mergeCells count="4">
    <mergeCell ref="A1:R1"/>
    <mergeCell ref="A2:R2"/>
    <mergeCell ref="A4:R4"/>
    <mergeCell ref="A11:R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276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277</v>
      </c>
      <c r="B5" s="6" t="s">
        <v>16</v>
      </c>
      <c r="C5" s="8" t="s">
        <v>114</v>
      </c>
      <c r="D5" s="13" t="s">
        <v>114</v>
      </c>
      <c r="E5" s="13" t="s">
        <v>114</v>
      </c>
      <c r="F5" s="13" t="s">
        <v>114</v>
      </c>
      <c r="G5" s="13" t="s">
        <v>12</v>
      </c>
      <c r="H5" s="13" t="s">
        <v>12</v>
      </c>
      <c r="I5" s="13" t="s">
        <v>12</v>
      </c>
      <c r="J5" s="13" t="s">
        <v>12</v>
      </c>
      <c r="K5" s="13" t="s">
        <v>114</v>
      </c>
      <c r="L5" s="13" t="s">
        <v>114</v>
      </c>
      <c r="M5" s="13" t="s">
        <v>114</v>
      </c>
      <c r="N5" s="13" t="s">
        <v>114</v>
      </c>
      <c r="O5" s="13" t="s">
        <v>114</v>
      </c>
      <c r="P5" s="13" t="s">
        <v>114</v>
      </c>
      <c r="Q5" s="13" t="s">
        <v>184</v>
      </c>
      <c r="R5" s="13" t="s">
        <v>114</v>
      </c>
    </row>
    <row r="6" customFormat="false" ht="15" hidden="false" customHeight="false" outlineLevel="0" collapsed="false">
      <c r="A6" s="14" t="s">
        <v>277</v>
      </c>
      <c r="B6" s="14" t="s">
        <v>278</v>
      </c>
      <c r="C6" s="8" t="s">
        <v>114</v>
      </c>
      <c r="D6" s="15" t="s">
        <v>12</v>
      </c>
      <c r="E6" s="15" t="s">
        <v>114</v>
      </c>
      <c r="F6" s="15" t="s">
        <v>114</v>
      </c>
      <c r="G6" s="15" t="s">
        <v>114</v>
      </c>
      <c r="H6" s="15" t="s">
        <v>114</v>
      </c>
      <c r="I6" s="15" t="s">
        <v>114</v>
      </c>
      <c r="J6" s="15" t="s">
        <v>114</v>
      </c>
      <c r="K6" s="15" t="s">
        <v>184</v>
      </c>
      <c r="L6" s="15" t="s">
        <v>184</v>
      </c>
      <c r="M6" s="15" t="s">
        <v>114</v>
      </c>
      <c r="N6" s="15" t="s">
        <v>114</v>
      </c>
      <c r="O6" s="15" t="s">
        <v>12</v>
      </c>
      <c r="P6" s="15" t="s">
        <v>114</v>
      </c>
      <c r="Q6" s="15" t="s">
        <v>114</v>
      </c>
      <c r="R6" s="15" t="s">
        <v>114</v>
      </c>
    </row>
    <row r="7" customFormat="false" ht="15" hidden="false" customHeight="false" outlineLevel="0" collapsed="false">
      <c r="A7" s="6" t="s">
        <v>277</v>
      </c>
      <c r="B7" s="6" t="s">
        <v>279</v>
      </c>
      <c r="C7" s="8" t="s">
        <v>114</v>
      </c>
      <c r="D7" s="13" t="s">
        <v>12</v>
      </c>
      <c r="E7" s="13" t="s">
        <v>184</v>
      </c>
      <c r="F7" s="13" t="s">
        <v>184</v>
      </c>
      <c r="G7" s="13" t="s">
        <v>114</v>
      </c>
      <c r="H7" s="13" t="s">
        <v>114</v>
      </c>
      <c r="I7" s="13" t="s">
        <v>114</v>
      </c>
      <c r="J7" s="13" t="s">
        <v>114</v>
      </c>
      <c r="K7" s="13" t="s">
        <v>12</v>
      </c>
      <c r="L7" s="13" t="s">
        <v>12</v>
      </c>
      <c r="M7" s="13" t="s">
        <v>114</v>
      </c>
      <c r="N7" s="13" t="s">
        <v>114</v>
      </c>
      <c r="O7" s="13" t="s">
        <v>12</v>
      </c>
      <c r="P7" s="13" t="s">
        <v>114</v>
      </c>
      <c r="Q7" s="13" t="s">
        <v>114</v>
      </c>
      <c r="R7" s="13" t="s">
        <v>184</v>
      </c>
    </row>
    <row r="8" customFormat="false" ht="15" hidden="false" customHeight="false" outlineLevel="0" collapsed="false">
      <c r="A8" s="14" t="s">
        <v>277</v>
      </c>
      <c r="B8" s="14" t="s">
        <v>280</v>
      </c>
      <c r="C8" s="8" t="s">
        <v>114</v>
      </c>
      <c r="D8" s="15" t="s">
        <v>12</v>
      </c>
      <c r="E8" s="15" t="s">
        <v>114</v>
      </c>
      <c r="F8" s="15" t="s">
        <v>114</v>
      </c>
      <c r="G8" s="15" t="s">
        <v>12</v>
      </c>
      <c r="H8" s="15" t="s">
        <v>12</v>
      </c>
      <c r="I8" s="15" t="s">
        <v>12</v>
      </c>
      <c r="J8" s="15" t="s">
        <v>114</v>
      </c>
      <c r="K8" s="15" t="s">
        <v>184</v>
      </c>
      <c r="L8" s="15" t="s">
        <v>184</v>
      </c>
      <c r="M8" s="15" t="s">
        <v>114</v>
      </c>
      <c r="N8" s="15" t="s">
        <v>114</v>
      </c>
      <c r="O8" s="15" t="s">
        <v>12</v>
      </c>
      <c r="P8" s="15" t="s">
        <v>114</v>
      </c>
      <c r="Q8" s="15" t="s">
        <v>12</v>
      </c>
      <c r="R8" s="15" t="s">
        <v>114</v>
      </c>
    </row>
    <row r="9" customFormat="false" ht="15" hidden="false" customHeight="false" outlineLevel="0" collapsed="false">
      <c r="A9" s="6" t="s">
        <v>277</v>
      </c>
      <c r="B9" s="6" t="s">
        <v>281</v>
      </c>
      <c r="C9" s="8" t="s">
        <v>114</v>
      </c>
      <c r="D9" s="13" t="s">
        <v>12</v>
      </c>
      <c r="E9" s="13" t="s">
        <v>114</v>
      </c>
      <c r="F9" s="13" t="s">
        <v>114</v>
      </c>
      <c r="G9" s="13" t="s">
        <v>12</v>
      </c>
      <c r="H9" s="13" t="s">
        <v>114</v>
      </c>
      <c r="I9" s="13" t="s">
        <v>114</v>
      </c>
      <c r="J9" s="13" t="s">
        <v>114</v>
      </c>
      <c r="K9" s="13" t="s">
        <v>114</v>
      </c>
      <c r="L9" s="13" t="s">
        <v>114</v>
      </c>
      <c r="M9" s="13" t="s">
        <v>114</v>
      </c>
      <c r="N9" s="13" t="s">
        <v>114</v>
      </c>
      <c r="O9" s="13" t="s">
        <v>12</v>
      </c>
      <c r="P9" s="13" t="s">
        <v>114</v>
      </c>
      <c r="Q9" s="13" t="s">
        <v>114</v>
      </c>
      <c r="R9" s="13" t="s">
        <v>114</v>
      </c>
    </row>
    <row r="10" customFormat="false" ht="15" hidden="false" customHeight="false" outlineLevel="0" collapsed="false">
      <c r="A10" s="14" t="s">
        <v>277</v>
      </c>
      <c r="B10" s="14" t="s">
        <v>282</v>
      </c>
      <c r="C10" s="8" t="s">
        <v>114</v>
      </c>
      <c r="D10" s="15" t="s">
        <v>114</v>
      </c>
      <c r="E10" s="15" t="s">
        <v>114</v>
      </c>
      <c r="F10" s="15" t="s">
        <v>114</v>
      </c>
      <c r="G10" s="15" t="s">
        <v>12</v>
      </c>
      <c r="H10" s="15" t="s">
        <v>12</v>
      </c>
      <c r="I10" s="15" t="s">
        <v>12</v>
      </c>
      <c r="J10" s="15" t="s">
        <v>184</v>
      </c>
      <c r="K10" s="15" t="s">
        <v>114</v>
      </c>
      <c r="L10" s="15" t="s">
        <v>114</v>
      </c>
      <c r="M10" s="15" t="s">
        <v>114</v>
      </c>
      <c r="N10" s="15" t="s">
        <v>114</v>
      </c>
      <c r="O10" s="15" t="s">
        <v>114</v>
      </c>
      <c r="P10" s="15" t="s">
        <v>114</v>
      </c>
      <c r="Q10" s="15" t="s">
        <v>12</v>
      </c>
      <c r="R10" s="15" t="s">
        <v>114</v>
      </c>
    </row>
    <row r="11" customFormat="false" ht="15" hidden="false" customHeight="false" outlineLevel="0" collapsed="false">
      <c r="A11" s="6" t="s">
        <v>277</v>
      </c>
      <c r="B11" s="6" t="s">
        <v>283</v>
      </c>
      <c r="C11" s="8" t="s">
        <v>12</v>
      </c>
      <c r="D11" s="13" t="s">
        <v>12</v>
      </c>
      <c r="E11" s="13" t="s">
        <v>12</v>
      </c>
      <c r="F11" s="13" t="s">
        <v>12</v>
      </c>
      <c r="G11" s="13" t="s">
        <v>114</v>
      </c>
      <c r="H11" s="13" t="s">
        <v>12</v>
      </c>
      <c r="I11" s="13" t="s">
        <v>12</v>
      </c>
      <c r="J11" s="13" t="s">
        <v>12</v>
      </c>
      <c r="K11" s="13" t="s">
        <v>12</v>
      </c>
      <c r="L11" s="13" t="s">
        <v>12</v>
      </c>
      <c r="M11" s="13" t="s">
        <v>12</v>
      </c>
      <c r="N11" s="13" t="s">
        <v>12</v>
      </c>
      <c r="O11" s="13" t="s">
        <v>12</v>
      </c>
      <c r="P11" s="13" t="s">
        <v>12</v>
      </c>
      <c r="Q11" s="13" t="s">
        <v>114</v>
      </c>
      <c r="R11" s="13" t="s">
        <v>12</v>
      </c>
    </row>
    <row r="13" customFormat="false" ht="15" hidden="false" customHeight="false" outlineLevel="0" collapsed="false">
      <c r="A13" s="16"/>
      <c r="B13" s="17" t="s">
        <v>200</v>
      </c>
      <c r="C13" s="18" t="n">
        <f aca="false">COUNTIF(C4:C12,"●")</f>
        <v>6</v>
      </c>
      <c r="D13" s="18" t="n">
        <f aca="false">COUNTIF(D4:D12,"●")</f>
        <v>2</v>
      </c>
      <c r="E13" s="18" t="n">
        <f aca="false">COUNTIF(E4:E12,"●")</f>
        <v>5</v>
      </c>
      <c r="F13" s="18" t="n">
        <f aca="false">COUNTIF(F4:F12,"●")</f>
        <v>5</v>
      </c>
      <c r="G13" s="18" t="n">
        <f aca="false">COUNTIF(G4:G12,"●")</f>
        <v>3</v>
      </c>
      <c r="H13" s="18" t="n">
        <f aca="false">COUNTIF(H4:H12,"●")</f>
        <v>3</v>
      </c>
      <c r="I13" s="18" t="n">
        <f aca="false">COUNTIF(I4:I12,"●")</f>
        <v>3</v>
      </c>
      <c r="J13" s="18" t="n">
        <f aca="false">COUNTIF(J4:J12,"●")</f>
        <v>4</v>
      </c>
      <c r="K13" s="18" t="n">
        <f aca="false">COUNTIF(K4:K12,"●")</f>
        <v>3</v>
      </c>
      <c r="L13" s="18" t="n">
        <f aca="false">COUNTIF(L4:L12,"●")</f>
        <v>3</v>
      </c>
      <c r="M13" s="18" t="n">
        <f aca="false">COUNTIF(M4:M12,"●")</f>
        <v>6</v>
      </c>
      <c r="N13" s="18" t="n">
        <f aca="false">COUNTIF(N4:N12,"●")</f>
        <v>6</v>
      </c>
      <c r="O13" s="18" t="n">
        <f aca="false">COUNTIF(O4:O12,"●")</f>
        <v>2</v>
      </c>
      <c r="P13" s="18" t="n">
        <f aca="false">COUNTIF(P4:P12,"●")</f>
        <v>6</v>
      </c>
      <c r="Q13" s="18" t="n">
        <f aca="false">COUNTIF(Q4:Q12,"●")</f>
        <v>4</v>
      </c>
      <c r="R13" s="18" t="n">
        <f aca="false">COUNTIF(R4:R12,"●")</f>
        <v>5</v>
      </c>
    </row>
  </sheetData>
  <mergeCells count="3">
    <mergeCell ref="A1:R1"/>
    <mergeCell ref="A2:R2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18" min="3" style="0" width="13"/>
  </cols>
  <sheetData>
    <row r="1" customFormat="false" ht="25.5" hidden="false" customHeight="true" outlineLevel="0" collapsed="false">
      <c r="A1" s="1" t="s">
        <v>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3</v>
      </c>
      <c r="B3" s="3" t="s">
        <v>181</v>
      </c>
      <c r="C3" s="12" t="s">
        <v>8</v>
      </c>
      <c r="D3" s="3" t="s">
        <v>13</v>
      </c>
      <c r="E3" s="3" t="s">
        <v>19</v>
      </c>
      <c r="F3" s="3" t="s">
        <v>24</v>
      </c>
      <c r="G3" s="3" t="s">
        <v>29</v>
      </c>
      <c r="H3" s="3" t="s">
        <v>35</v>
      </c>
      <c r="I3" s="3" t="s">
        <v>41</v>
      </c>
      <c r="J3" s="3" t="s">
        <v>47</v>
      </c>
      <c r="K3" s="3" t="s">
        <v>53</v>
      </c>
      <c r="L3" s="3" t="s">
        <v>58</v>
      </c>
      <c r="M3" s="3" t="s">
        <v>64</v>
      </c>
      <c r="N3" s="3" t="s">
        <v>69</v>
      </c>
      <c r="O3" s="3" t="s">
        <v>74</v>
      </c>
      <c r="P3" s="3" t="s">
        <v>80</v>
      </c>
      <c r="Q3" s="3" t="s">
        <v>86</v>
      </c>
      <c r="R3" s="3" t="s">
        <v>92</v>
      </c>
    </row>
    <row r="4" customFormat="false" ht="19.5" hidden="false" customHeight="true" outlineLevel="0" collapsed="false">
      <c r="A4" s="7" t="s">
        <v>286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A5" s="6" t="s">
        <v>284</v>
      </c>
      <c r="B5" s="6" t="s">
        <v>287</v>
      </c>
      <c r="C5" s="8" t="s">
        <v>114</v>
      </c>
      <c r="D5" s="13" t="s">
        <v>184</v>
      </c>
      <c r="E5" s="13" t="s">
        <v>184</v>
      </c>
      <c r="F5" s="13" t="s">
        <v>114</v>
      </c>
      <c r="G5" s="13" t="s">
        <v>184</v>
      </c>
      <c r="H5" s="13" t="s">
        <v>114</v>
      </c>
      <c r="I5" s="13" t="s">
        <v>114</v>
      </c>
      <c r="J5" s="13" t="s">
        <v>114</v>
      </c>
      <c r="K5" s="13" t="s">
        <v>184</v>
      </c>
      <c r="L5" s="13" t="s">
        <v>12</v>
      </c>
      <c r="M5" s="13" t="s">
        <v>114</v>
      </c>
      <c r="N5" s="13" t="s">
        <v>184</v>
      </c>
      <c r="O5" s="13" t="s">
        <v>114</v>
      </c>
      <c r="P5" s="13" t="s">
        <v>12</v>
      </c>
      <c r="Q5" s="13" t="s">
        <v>114</v>
      </c>
      <c r="R5" s="13" t="s">
        <v>12</v>
      </c>
    </row>
    <row r="6" customFormat="false" ht="15" hidden="false" customHeight="false" outlineLevel="0" collapsed="false">
      <c r="A6" s="14" t="s">
        <v>284</v>
      </c>
      <c r="B6" s="14" t="s">
        <v>288</v>
      </c>
      <c r="C6" s="8" t="s">
        <v>184</v>
      </c>
      <c r="D6" s="15" t="s">
        <v>12</v>
      </c>
      <c r="E6" s="15" t="s">
        <v>12</v>
      </c>
      <c r="F6" s="15" t="s">
        <v>184</v>
      </c>
      <c r="G6" s="15" t="s">
        <v>12</v>
      </c>
      <c r="H6" s="15" t="s">
        <v>114</v>
      </c>
      <c r="I6" s="15" t="s">
        <v>114</v>
      </c>
      <c r="J6" s="15" t="s">
        <v>114</v>
      </c>
      <c r="K6" s="15" t="s">
        <v>12</v>
      </c>
      <c r="L6" s="15" t="s">
        <v>12</v>
      </c>
      <c r="M6" s="15" t="s">
        <v>184</v>
      </c>
      <c r="N6" s="15" t="s">
        <v>184</v>
      </c>
      <c r="O6" s="15" t="s">
        <v>12</v>
      </c>
      <c r="P6" s="15" t="s">
        <v>12</v>
      </c>
      <c r="Q6" s="15" t="s">
        <v>184</v>
      </c>
      <c r="R6" s="15" t="s">
        <v>12</v>
      </c>
    </row>
    <row r="7" customFormat="false" ht="23.85" hidden="false" customHeight="false" outlineLevel="0" collapsed="false">
      <c r="A7" s="6" t="s">
        <v>284</v>
      </c>
      <c r="B7" s="6" t="s">
        <v>289</v>
      </c>
      <c r="C7" s="8" t="s">
        <v>290</v>
      </c>
      <c r="D7" s="13" t="s">
        <v>291</v>
      </c>
      <c r="E7" s="13" t="s">
        <v>292</v>
      </c>
      <c r="F7" s="13" t="s">
        <v>293</v>
      </c>
      <c r="G7" s="13" t="s">
        <v>294</v>
      </c>
      <c r="H7" s="13" t="s">
        <v>295</v>
      </c>
      <c r="I7" s="13" t="s">
        <v>295</v>
      </c>
      <c r="J7" s="13" t="s">
        <v>296</v>
      </c>
      <c r="K7" s="13" t="s">
        <v>297</v>
      </c>
      <c r="L7" s="13" t="s">
        <v>298</v>
      </c>
      <c r="M7" s="13" t="s">
        <v>299</v>
      </c>
      <c r="N7" s="13" t="s">
        <v>300</v>
      </c>
      <c r="O7" s="13" t="s">
        <v>301</v>
      </c>
      <c r="P7" s="13" t="s">
        <v>302</v>
      </c>
      <c r="Q7" s="13" t="s">
        <v>303</v>
      </c>
      <c r="R7" s="13" t="s">
        <v>292</v>
      </c>
    </row>
    <row r="8" customFormat="false" ht="23.85" hidden="false" customHeight="false" outlineLevel="0" collapsed="false">
      <c r="A8" s="14" t="s">
        <v>284</v>
      </c>
      <c r="B8" s="14" t="s">
        <v>304</v>
      </c>
      <c r="C8" s="8" t="s">
        <v>305</v>
      </c>
      <c r="D8" s="15" t="s">
        <v>306</v>
      </c>
      <c r="E8" s="15" t="s">
        <v>307</v>
      </c>
      <c r="F8" s="15" t="s">
        <v>308</v>
      </c>
      <c r="G8" s="15" t="s">
        <v>309</v>
      </c>
      <c r="H8" s="15" t="s">
        <v>295</v>
      </c>
      <c r="I8" s="15" t="s">
        <v>295</v>
      </c>
      <c r="J8" s="15" t="s">
        <v>295</v>
      </c>
      <c r="K8" s="15" t="s">
        <v>310</v>
      </c>
      <c r="L8" s="15" t="s">
        <v>311</v>
      </c>
      <c r="M8" s="15" t="s">
        <v>312</v>
      </c>
      <c r="N8" s="15" t="s">
        <v>313</v>
      </c>
      <c r="O8" s="15" t="s">
        <v>314</v>
      </c>
      <c r="P8" s="15" t="s">
        <v>315</v>
      </c>
      <c r="Q8" s="15" t="s">
        <v>316</v>
      </c>
      <c r="R8" s="15" t="s">
        <v>317</v>
      </c>
    </row>
    <row r="9" customFormat="false" ht="15" hidden="false" customHeight="false" outlineLevel="0" collapsed="false">
      <c r="A9" s="6" t="s">
        <v>284</v>
      </c>
      <c r="B9" s="6" t="s">
        <v>318</v>
      </c>
      <c r="C9" s="8" t="s">
        <v>114</v>
      </c>
      <c r="D9" s="13" t="s">
        <v>246</v>
      </c>
      <c r="E9" s="13" t="s">
        <v>246</v>
      </c>
      <c r="F9" s="13" t="s">
        <v>246</v>
      </c>
      <c r="G9" s="13" t="s">
        <v>12</v>
      </c>
      <c r="H9" s="13" t="s">
        <v>12</v>
      </c>
      <c r="I9" s="13" t="s">
        <v>12</v>
      </c>
      <c r="J9" s="13" t="s">
        <v>114</v>
      </c>
      <c r="K9" s="13" t="s">
        <v>246</v>
      </c>
      <c r="L9" s="13" t="s">
        <v>114</v>
      </c>
      <c r="M9" s="13" t="s">
        <v>246</v>
      </c>
      <c r="N9" s="13" t="s">
        <v>114</v>
      </c>
      <c r="O9" s="13" t="s">
        <v>114</v>
      </c>
      <c r="P9" s="13" t="s">
        <v>246</v>
      </c>
      <c r="Q9" s="13" t="s">
        <v>246</v>
      </c>
      <c r="R9" s="13" t="s">
        <v>246</v>
      </c>
    </row>
    <row r="11" customFormat="false" ht="15" hidden="false" customHeight="false" outlineLevel="0" collapsed="false">
      <c r="A11" s="16"/>
      <c r="B11" s="17" t="s">
        <v>200</v>
      </c>
      <c r="C11" s="18" t="n">
        <f aca="false">COUNTIF(C4:C10,"●")</f>
        <v>2</v>
      </c>
      <c r="D11" s="18" t="n">
        <f aca="false">COUNTIF(D4:D10,"●")</f>
        <v>0</v>
      </c>
      <c r="E11" s="18" t="n">
        <f aca="false">COUNTIF(E4:E10,"●")</f>
        <v>0</v>
      </c>
      <c r="F11" s="18" t="n">
        <f aca="false">COUNTIF(F4:F10,"●")</f>
        <v>1</v>
      </c>
      <c r="G11" s="18" t="n">
        <f aca="false">COUNTIF(G4:G10,"●")</f>
        <v>0</v>
      </c>
      <c r="H11" s="18" t="n">
        <f aca="false">COUNTIF(H4:H10,"●")</f>
        <v>2</v>
      </c>
      <c r="I11" s="18" t="n">
        <f aca="false">COUNTIF(I4:I10,"●")</f>
        <v>2</v>
      </c>
      <c r="J11" s="18" t="n">
        <f aca="false">COUNTIF(J4:J10,"●")</f>
        <v>3</v>
      </c>
      <c r="K11" s="18" t="n">
        <f aca="false">COUNTIF(K4:K10,"●")</f>
        <v>0</v>
      </c>
      <c r="L11" s="18" t="n">
        <f aca="false">COUNTIF(L4:L10,"●")</f>
        <v>1</v>
      </c>
      <c r="M11" s="18" t="n">
        <f aca="false">COUNTIF(M4:M10,"●")</f>
        <v>1</v>
      </c>
      <c r="N11" s="18" t="n">
        <f aca="false">COUNTIF(N4:N10,"●")</f>
        <v>1</v>
      </c>
      <c r="O11" s="18" t="n">
        <f aca="false">COUNTIF(O4:O10,"●")</f>
        <v>2</v>
      </c>
      <c r="P11" s="18" t="n">
        <f aca="false">COUNTIF(P4:P10,"●")</f>
        <v>0</v>
      </c>
      <c r="Q11" s="18" t="n">
        <f aca="false">COUNTIF(Q4:Q10,"●")</f>
        <v>1</v>
      </c>
      <c r="R11" s="18" t="n">
        <f aca="false">COUNTIF(R4:R10,"●")</f>
        <v>0</v>
      </c>
    </row>
  </sheetData>
  <mergeCells count="3">
    <mergeCell ref="A1:R1"/>
    <mergeCell ref="A2:R2"/>
    <mergeCell ref="A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72"/>
  </cols>
  <sheetData>
    <row r="1" customFormat="false" ht="25.5" hidden="false" customHeight="true" outlineLevel="0" collapsed="false">
      <c r="A1" s="1" t="s">
        <v>319</v>
      </c>
      <c r="B1" s="1"/>
      <c r="C1" s="1"/>
    </row>
    <row r="2" customFormat="false" ht="15" hidden="false" customHeight="false" outlineLevel="0" collapsed="false">
      <c r="A2" s="3" t="s">
        <v>320</v>
      </c>
      <c r="B2" s="3" t="s">
        <v>321</v>
      </c>
      <c r="C2" s="3" t="s">
        <v>322</v>
      </c>
    </row>
    <row r="3" customFormat="false" ht="15" hidden="false" customHeight="false" outlineLevel="0" collapsed="false">
      <c r="A3" s="13" t="s">
        <v>114</v>
      </c>
      <c r="B3" s="6" t="s">
        <v>323</v>
      </c>
      <c r="C3" s="6" t="s">
        <v>324</v>
      </c>
    </row>
    <row r="4" customFormat="false" ht="15" hidden="false" customHeight="false" outlineLevel="0" collapsed="false">
      <c r="A4" s="13" t="s">
        <v>184</v>
      </c>
      <c r="B4" s="6" t="s">
        <v>325</v>
      </c>
      <c r="C4" s="6" t="s">
        <v>326</v>
      </c>
    </row>
    <row r="5" customFormat="false" ht="15" hidden="false" customHeight="false" outlineLevel="0" collapsed="false">
      <c r="A5" s="13" t="s">
        <v>246</v>
      </c>
      <c r="B5" s="6" t="s">
        <v>327</v>
      </c>
      <c r="C5" s="6" t="s">
        <v>328</v>
      </c>
    </row>
    <row r="6" customFormat="false" ht="15" hidden="false" customHeight="false" outlineLevel="0" collapsed="false">
      <c r="A6" s="13" t="s">
        <v>12</v>
      </c>
      <c r="B6" s="6" t="s">
        <v>329</v>
      </c>
      <c r="C6" s="6" t="s">
        <v>330</v>
      </c>
    </row>
    <row r="8" customFormat="false" ht="15" hidden="false" customHeight="false" outlineLevel="0" collapsed="false">
      <c r="A8" s="19" t="s">
        <v>331</v>
      </c>
      <c r="B8" s="19"/>
      <c r="C8" s="19"/>
    </row>
    <row r="9" customFormat="false" ht="15" hidden="false" customHeight="true" outlineLevel="0" collapsed="false">
      <c r="A9" s="20" t="s">
        <v>332</v>
      </c>
      <c r="B9" s="21" t="s">
        <v>333</v>
      </c>
      <c r="C9" s="21"/>
    </row>
    <row r="10" customFormat="false" ht="15" hidden="false" customHeight="true" outlineLevel="0" collapsed="false">
      <c r="A10" s="20" t="s">
        <v>332</v>
      </c>
      <c r="B10" s="21" t="s">
        <v>334</v>
      </c>
      <c r="C10" s="21"/>
    </row>
    <row r="11" customFormat="false" ht="15" hidden="false" customHeight="true" outlineLevel="0" collapsed="false">
      <c r="A11" s="20" t="s">
        <v>332</v>
      </c>
      <c r="B11" s="21" t="s">
        <v>335</v>
      </c>
      <c r="C11" s="21"/>
    </row>
    <row r="12" customFormat="false" ht="15" hidden="false" customHeight="true" outlineLevel="0" collapsed="false">
      <c r="A12" s="20" t="s">
        <v>332</v>
      </c>
      <c r="B12" s="21" t="s">
        <v>336</v>
      </c>
      <c r="C12" s="21"/>
    </row>
  </sheetData>
  <mergeCells count="6">
    <mergeCell ref="A1:C1"/>
    <mergeCell ref="A8:C8"/>
    <mergeCell ref="B9:C9"/>
    <mergeCell ref="B10:C10"/>
    <mergeCell ref="B11:C11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2026-04-23T04:50:19Z</dcterms:created>
  <dc:creator>openpyxl</dc:creator>
  <dc:description/>
  <dc:language>en-US</dc:language>
  <cp:lastModifiedBy/>
  <dcterms:modified xsi:type="dcterms:W3CDTF">2026-04-23T04:50:19Z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